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AT Team Folder\Team Details\Input Form\"/>
    </mc:Choice>
  </mc:AlternateContent>
  <xr:revisionPtr revIDLastSave="0" documentId="13_ncr:8001_{5660C646-58D2-4802-841A-D528149C1702}" xr6:coauthVersionLast="47" xr6:coauthVersionMax="47" xr10:uidLastSave="{00000000-0000-0000-0000-000000000000}"/>
  <bookViews>
    <workbookView xWindow="-120" yWindow="-120" windowWidth="20730" windowHeight="11040" xr2:uid="{84151E4F-F7CD-4085-A76A-8346670C8495}"/>
  </bookViews>
  <sheets>
    <sheet name="Home" sheetId="7" r:id="rId1"/>
    <sheet name="Input Form" sheetId="6" r:id="rId2"/>
    <sheet name="Calculation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" i="4" l="1"/>
  <c r="A13" i="4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12" i="4"/>
  <c r="Q30" i="4"/>
  <c r="H34" i="6" s="1"/>
  <c r="P30" i="4"/>
  <c r="G34" i="6" s="1"/>
  <c r="O30" i="4"/>
  <c r="F34" i="6" s="1"/>
  <c r="N30" i="4"/>
  <c r="M30" i="4"/>
  <c r="L30" i="4"/>
  <c r="K30" i="4"/>
  <c r="Q29" i="4"/>
  <c r="H33" i="6" s="1"/>
  <c r="P29" i="4"/>
  <c r="G33" i="6" s="1"/>
  <c r="O29" i="4"/>
  <c r="F33" i="6" s="1"/>
  <c r="N29" i="4"/>
  <c r="M29" i="4"/>
  <c r="L29" i="4"/>
  <c r="K29" i="4"/>
  <c r="Q28" i="4"/>
  <c r="H32" i="6" s="1"/>
  <c r="P28" i="4"/>
  <c r="G32" i="6" s="1"/>
  <c r="O28" i="4"/>
  <c r="F32" i="6" s="1"/>
  <c r="N28" i="4"/>
  <c r="M28" i="4"/>
  <c r="L28" i="4"/>
  <c r="K28" i="4"/>
  <c r="Q27" i="4"/>
  <c r="H31" i="6" s="1"/>
  <c r="P27" i="4"/>
  <c r="G31" i="6" s="1"/>
  <c r="O27" i="4"/>
  <c r="F31" i="6" s="1"/>
  <c r="N27" i="4"/>
  <c r="M27" i="4"/>
  <c r="L27" i="4"/>
  <c r="K27" i="4"/>
  <c r="Q26" i="4"/>
  <c r="H30" i="6" s="1"/>
  <c r="P26" i="4"/>
  <c r="G30" i="6" s="1"/>
  <c r="O26" i="4"/>
  <c r="F30" i="6" s="1"/>
  <c r="N26" i="4"/>
  <c r="M26" i="4"/>
  <c r="L26" i="4"/>
  <c r="K26" i="4"/>
  <c r="Q25" i="4"/>
  <c r="H29" i="6" s="1"/>
  <c r="P25" i="4"/>
  <c r="G29" i="6" s="1"/>
  <c r="O25" i="4"/>
  <c r="F29" i="6" s="1"/>
  <c r="N25" i="4"/>
  <c r="M25" i="4"/>
  <c r="L25" i="4"/>
  <c r="K25" i="4"/>
  <c r="Q24" i="4"/>
  <c r="H28" i="6" s="1"/>
  <c r="P24" i="4"/>
  <c r="G28" i="6" s="1"/>
  <c r="O24" i="4"/>
  <c r="F28" i="6" s="1"/>
  <c r="N24" i="4"/>
  <c r="M24" i="4"/>
  <c r="L24" i="4"/>
  <c r="K24" i="4"/>
  <c r="Q23" i="4"/>
  <c r="H27" i="6" s="1"/>
  <c r="P23" i="4"/>
  <c r="G27" i="6" s="1"/>
  <c r="O23" i="4"/>
  <c r="F27" i="6" s="1"/>
  <c r="N23" i="4"/>
  <c r="M23" i="4"/>
  <c r="L23" i="4"/>
  <c r="K23" i="4"/>
  <c r="Q22" i="4"/>
  <c r="H26" i="6" s="1"/>
  <c r="P22" i="4"/>
  <c r="G26" i="6" s="1"/>
  <c r="O22" i="4"/>
  <c r="F26" i="6" s="1"/>
  <c r="N22" i="4"/>
  <c r="M22" i="4"/>
  <c r="L22" i="4"/>
  <c r="K22" i="4"/>
  <c r="Q21" i="4"/>
  <c r="H25" i="6" s="1"/>
  <c r="P21" i="4"/>
  <c r="G25" i="6" s="1"/>
  <c r="O21" i="4"/>
  <c r="F25" i="6" s="1"/>
  <c r="N21" i="4"/>
  <c r="M21" i="4"/>
  <c r="L21" i="4"/>
  <c r="K21" i="4"/>
  <c r="Q20" i="4"/>
  <c r="H24" i="6" s="1"/>
  <c r="P20" i="4"/>
  <c r="G24" i="6" s="1"/>
  <c r="O20" i="4"/>
  <c r="F24" i="6" s="1"/>
  <c r="N20" i="4"/>
  <c r="M20" i="4"/>
  <c r="L20" i="4"/>
  <c r="K20" i="4"/>
  <c r="Q19" i="4"/>
  <c r="H23" i="6" s="1"/>
  <c r="P19" i="4"/>
  <c r="G23" i="6" s="1"/>
  <c r="O19" i="4"/>
  <c r="F23" i="6" s="1"/>
  <c r="N19" i="4"/>
  <c r="M19" i="4"/>
  <c r="L19" i="4"/>
  <c r="K19" i="4"/>
  <c r="Q18" i="4"/>
  <c r="H22" i="6" s="1"/>
  <c r="P18" i="4"/>
  <c r="G22" i="6" s="1"/>
  <c r="O18" i="4"/>
  <c r="F22" i="6" s="1"/>
  <c r="N18" i="4"/>
  <c r="M18" i="4"/>
  <c r="L18" i="4"/>
  <c r="K18" i="4"/>
  <c r="Q17" i="4"/>
  <c r="H21" i="6" s="1"/>
  <c r="P17" i="4"/>
  <c r="G21" i="6" s="1"/>
  <c r="O17" i="4"/>
  <c r="F21" i="6" s="1"/>
  <c r="N17" i="4"/>
  <c r="M17" i="4"/>
  <c r="L17" i="4"/>
  <c r="K17" i="4"/>
  <c r="Q16" i="4"/>
  <c r="H20" i="6" s="1"/>
  <c r="P16" i="4"/>
  <c r="G20" i="6" s="1"/>
  <c r="O16" i="4"/>
  <c r="F20" i="6" s="1"/>
  <c r="N16" i="4"/>
  <c r="M16" i="4"/>
  <c r="L16" i="4"/>
  <c r="K16" i="4"/>
  <c r="Q15" i="4"/>
  <c r="H19" i="6" s="1"/>
  <c r="P15" i="4"/>
  <c r="G19" i="6" s="1"/>
  <c r="O15" i="4"/>
  <c r="F19" i="6" s="1"/>
  <c r="N15" i="4"/>
  <c r="M15" i="4"/>
  <c r="L15" i="4"/>
  <c r="K15" i="4"/>
  <c r="J30" i="4"/>
  <c r="I30" i="4"/>
  <c r="H30" i="4"/>
  <c r="G30" i="4"/>
  <c r="F30" i="4"/>
  <c r="E30" i="4"/>
  <c r="D30" i="4"/>
  <c r="C30" i="4"/>
  <c r="B30" i="4"/>
  <c r="J29" i="4"/>
  <c r="I29" i="4"/>
  <c r="H29" i="4"/>
  <c r="G29" i="4"/>
  <c r="F29" i="4"/>
  <c r="E29" i="4"/>
  <c r="D29" i="4"/>
  <c r="C29" i="4"/>
  <c r="B29" i="4"/>
  <c r="J28" i="4"/>
  <c r="I28" i="4"/>
  <c r="H28" i="4"/>
  <c r="G28" i="4"/>
  <c r="F28" i="4"/>
  <c r="E28" i="4"/>
  <c r="D28" i="4"/>
  <c r="C28" i="4"/>
  <c r="B28" i="4"/>
  <c r="J27" i="4"/>
  <c r="I27" i="4"/>
  <c r="H27" i="4"/>
  <c r="G27" i="4"/>
  <c r="F27" i="4"/>
  <c r="E27" i="4"/>
  <c r="D27" i="4"/>
  <c r="C27" i="4"/>
  <c r="B27" i="4"/>
  <c r="J26" i="4"/>
  <c r="I26" i="4"/>
  <c r="H26" i="4"/>
  <c r="G26" i="4"/>
  <c r="F26" i="4"/>
  <c r="E26" i="4"/>
  <c r="D26" i="4"/>
  <c r="C26" i="4"/>
  <c r="B26" i="4"/>
  <c r="J25" i="4"/>
  <c r="I25" i="4"/>
  <c r="H25" i="4"/>
  <c r="G25" i="4"/>
  <c r="F25" i="4"/>
  <c r="E25" i="4"/>
  <c r="D25" i="4"/>
  <c r="C25" i="4"/>
  <c r="B25" i="4"/>
  <c r="J24" i="4"/>
  <c r="I24" i="4"/>
  <c r="H24" i="4"/>
  <c r="G24" i="4"/>
  <c r="F24" i="4"/>
  <c r="E24" i="4"/>
  <c r="D24" i="4"/>
  <c r="C24" i="4"/>
  <c r="B24" i="4"/>
  <c r="J23" i="4"/>
  <c r="I23" i="4"/>
  <c r="H23" i="4"/>
  <c r="G23" i="4"/>
  <c r="F23" i="4"/>
  <c r="E23" i="4"/>
  <c r="D23" i="4"/>
  <c r="C23" i="4"/>
  <c r="B23" i="4"/>
  <c r="J22" i="4"/>
  <c r="I22" i="4"/>
  <c r="H22" i="4"/>
  <c r="G22" i="4"/>
  <c r="F22" i="4"/>
  <c r="E22" i="4"/>
  <c r="D22" i="4"/>
  <c r="C22" i="4"/>
  <c r="B22" i="4"/>
  <c r="J21" i="4"/>
  <c r="I21" i="4"/>
  <c r="H21" i="4"/>
  <c r="G21" i="4"/>
  <c r="F21" i="4"/>
  <c r="E21" i="4"/>
  <c r="D21" i="4"/>
  <c r="C21" i="4"/>
  <c r="B21" i="4"/>
  <c r="J20" i="4"/>
  <c r="I20" i="4"/>
  <c r="H20" i="4"/>
  <c r="G20" i="4"/>
  <c r="F20" i="4"/>
  <c r="E20" i="4"/>
  <c r="D20" i="4"/>
  <c r="C20" i="4"/>
  <c r="B20" i="4"/>
  <c r="J19" i="4"/>
  <c r="I19" i="4"/>
  <c r="H19" i="4"/>
  <c r="G19" i="4"/>
  <c r="F19" i="4"/>
  <c r="E19" i="4"/>
  <c r="D19" i="4"/>
  <c r="C19" i="4"/>
  <c r="B19" i="4"/>
  <c r="J18" i="4"/>
  <c r="I18" i="4"/>
  <c r="H18" i="4"/>
  <c r="G18" i="4"/>
  <c r="F18" i="4"/>
  <c r="E18" i="4"/>
  <c r="D18" i="4"/>
  <c r="C18" i="4"/>
  <c r="B18" i="4"/>
  <c r="J17" i="4"/>
  <c r="I17" i="4"/>
  <c r="H17" i="4"/>
  <c r="G17" i="4"/>
  <c r="F17" i="4"/>
  <c r="E17" i="4"/>
  <c r="D17" i="4"/>
  <c r="C17" i="4"/>
  <c r="B17" i="4"/>
  <c r="J16" i="4"/>
  <c r="I16" i="4"/>
  <c r="H16" i="4"/>
  <c r="G16" i="4"/>
  <c r="F16" i="4"/>
  <c r="E16" i="4"/>
  <c r="D16" i="4"/>
  <c r="C16" i="4"/>
  <c r="B16" i="4"/>
  <c r="J15" i="4"/>
  <c r="I15" i="4"/>
  <c r="H15" i="4"/>
  <c r="G15" i="4"/>
  <c r="F15" i="4"/>
  <c r="E15" i="4"/>
  <c r="D15" i="4"/>
  <c r="C15" i="4"/>
  <c r="B15" i="4"/>
  <c r="J14" i="4"/>
  <c r="D14" i="4"/>
  <c r="C14" i="4"/>
  <c r="B14" i="4"/>
  <c r="J13" i="4"/>
  <c r="D13" i="4"/>
  <c r="C13" i="4"/>
  <c r="B13" i="4"/>
  <c r="J12" i="4"/>
  <c r="D12" i="4"/>
  <c r="C12" i="4"/>
  <c r="B12" i="4"/>
  <c r="J11" i="4"/>
  <c r="D11" i="4"/>
  <c r="C11" i="4"/>
  <c r="B11" i="4"/>
  <c r="C6" i="4"/>
  <c r="C5" i="4"/>
  <c r="D5" i="4" s="1"/>
  <c r="C4" i="4"/>
  <c r="C3" i="4"/>
  <c r="C2" i="4"/>
  <c r="E14" i="4" l="1"/>
  <c r="F14" i="4" s="1"/>
  <c r="O14" i="4"/>
  <c r="F18" i="6" s="1"/>
  <c r="D7" i="4"/>
  <c r="O12" i="4"/>
  <c r="E2" i="4"/>
  <c r="D4" i="4"/>
  <c r="E11" i="4"/>
  <c r="O13" i="4"/>
  <c r="F17" i="6" s="1"/>
  <c r="O11" i="4"/>
  <c r="F15" i="6" s="1"/>
  <c r="E12" i="4"/>
  <c r="E13" i="4"/>
  <c r="H14" i="4" l="1"/>
  <c r="G14" i="4" s="1"/>
  <c r="I14" i="4" s="1"/>
  <c r="H11" i="4"/>
  <c r="G11" i="4" s="1"/>
  <c r="H12" i="4"/>
  <c r="G12" i="4" s="1"/>
  <c r="F11" i="4"/>
  <c r="D6" i="4"/>
  <c r="D8" i="4" s="1"/>
  <c r="F12" i="4"/>
  <c r="H13" i="4"/>
  <c r="G13" i="4" s="1"/>
  <c r="F13" i="4"/>
  <c r="I12" i="4" l="1"/>
  <c r="K12" i="4" s="1"/>
  <c r="L12" i="4" s="1"/>
  <c r="K14" i="4"/>
  <c r="L14" i="4" s="1"/>
  <c r="M14" i="4" s="1"/>
  <c r="I11" i="4"/>
  <c r="K11" i="4" s="1"/>
  <c r="L11" i="4" s="1"/>
  <c r="M11" i="4" s="1"/>
  <c r="N11" i="4" s="1"/>
  <c r="P11" i="4" s="1"/>
  <c r="G15" i="6" s="1"/>
  <c r="I13" i="4"/>
  <c r="K13" i="4" s="1"/>
  <c r="Q12" i="4" l="1"/>
  <c r="M12" i="4"/>
  <c r="N12" i="4" s="1"/>
  <c r="P12" i="4" s="1"/>
  <c r="Q11" i="4"/>
  <c r="H15" i="6" s="1"/>
  <c r="Q14" i="4"/>
  <c r="H18" i="6" s="1"/>
  <c r="N14" i="4"/>
  <c r="P14" i="4" s="1"/>
  <c r="G18" i="6" s="1"/>
  <c r="L13" i="4"/>
  <c r="Q13" i="4" s="1"/>
  <c r="H17" i="6" s="1"/>
  <c r="M13" i="4" l="1"/>
  <c r="N13" i="4" s="1"/>
  <c r="P13" i="4" s="1"/>
  <c r="G17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tc={47DAF7BA-6AFF-440B-8A41-57A6FB4A31A1}</author>
  </authors>
  <commentList>
    <comment ref="H14" authorId="0" shapeId="0" xr:uid="{47DAF7BA-6AFF-440B-8A41-57A6FB4A31A1}">
      <text>
        <t>[Threaded comment]
Your version of Excel allows you to read this threaded comment; however, any edits to it will get removed if the file is opened in a newer version of Excel. Learn more: https://go.microsoft.com/fwlink/?linkid=870924
Comment:
    SAP Price(1to 2% Higher By adding miscellaneous Charges Of Agent Fees &amp; Transport Cost)</t>
      </text>
    </comment>
  </commentList>
</comments>
</file>

<file path=xl/sharedStrings.xml><?xml version="1.0" encoding="utf-8"?>
<sst xmlns="http://schemas.openxmlformats.org/spreadsheetml/2006/main" count="73" uniqueCount="66">
  <si>
    <t>Invoice Value</t>
  </si>
  <si>
    <t>Freight</t>
  </si>
  <si>
    <t>Insurance</t>
  </si>
  <si>
    <t>Miscelenous Charges</t>
  </si>
  <si>
    <t>Exchange Rate</t>
  </si>
  <si>
    <t>Total Weight</t>
  </si>
  <si>
    <t>Assess Value</t>
  </si>
  <si>
    <t>Miscellanous</t>
  </si>
  <si>
    <t>Unit Price</t>
  </si>
  <si>
    <t>Quantity</t>
  </si>
  <si>
    <t>BCD</t>
  </si>
  <si>
    <t>SWS</t>
  </si>
  <si>
    <t>IGST</t>
  </si>
  <si>
    <t>Total Duty</t>
  </si>
  <si>
    <t>Sr.No.</t>
  </si>
  <si>
    <t>Unit Cost With Duty</t>
  </si>
  <si>
    <t>Unit Cost Quotated</t>
  </si>
  <si>
    <t>Unit Cost Actual To Company</t>
  </si>
  <si>
    <t>Kg</t>
  </si>
  <si>
    <t>By Air</t>
  </si>
  <si>
    <t>SAP Price(1to 2% Higher By adding miscellanous Charges Of Agent Fees &amp; Transport Cost)</t>
  </si>
  <si>
    <t>Material</t>
  </si>
  <si>
    <t>BCD Rate</t>
  </si>
  <si>
    <t>IMPORT DUTY CALCULATION - INPUT FORM</t>
  </si>
  <si>
    <t>HEADER INPUTS</t>
  </si>
  <si>
    <t>Total Weight (Kg)</t>
  </si>
  <si>
    <t>Invoice Value ($)</t>
  </si>
  <si>
    <t>Freight (₹)</t>
  </si>
  <si>
    <t>Insurance (%)</t>
  </si>
  <si>
    <t>Miscellaneous Charges</t>
  </si>
  <si>
    <t>Material Name</t>
  </si>
  <si>
    <t>Unit Price ($)</t>
  </si>
  <si>
    <t>BCD Rate (%)</t>
  </si>
  <si>
    <t>DATA ENTRY TABLE - Enter material details below (Yellow columns are inputs)</t>
  </si>
  <si>
    <t>Actual Cost Excluding  GST</t>
  </si>
  <si>
    <t>Unit Cost  Duty + GST</t>
  </si>
  <si>
    <t>*Upload BOE in Any AI Website or Extract Data Manually</t>
  </si>
  <si>
    <t>*For AI - Prompt</t>
  </si>
  <si>
    <r>
      <t>Role:</t>
    </r>
    <r>
      <rPr>
        <sz val="11"/>
        <color theme="1"/>
        <rFont val="Aptos Narrow"/>
        <family val="2"/>
        <scheme val="minor"/>
      </rPr>
      <t xml:space="preserve"> Act as an expert data extractor and customs document analyst.</t>
    </r>
  </si>
  <si>
    <r>
      <t>Task:</t>
    </r>
    <r>
      <rPr>
        <sz val="11"/>
        <color theme="1"/>
        <rFont val="Aptos Narrow"/>
        <family val="2"/>
        <scheme val="minor"/>
      </rPr>
      <t xml:space="preserve"> I have attached a Bill of Entry for a recent shipment. Please carefully review the document and extract the specific data points listed below. Provide the final output as a clean, structured table that I can directly copy and paste into Excel.</t>
    </r>
  </si>
  <si>
    <t>Please extract the following fields into individual columns:</t>
  </si>
  <si>
    <t>1. Material Name / Description</t>
  </si>
  <si>
    <t>2. Quantity</t>
  </si>
  <si>
    <t>3. Unit Cost</t>
  </si>
  <si>
    <t>4. Total Cost</t>
  </si>
  <si>
    <t>5. Individual Assess Value (per material)</t>
  </si>
  <si>
    <t>6. BCD Rate (Basic Customs Duty)</t>
  </si>
  <si>
    <t>7. BCD Value</t>
  </si>
  <si>
    <t>8. SWS Rate (Social Welfare Surcharge)</t>
  </si>
  <si>
    <t>9. SWS Value</t>
  </si>
  <si>
    <t>10. GST/IGST Rate</t>
  </si>
  <si>
    <t>11. GST/IGST Value</t>
  </si>
  <si>
    <t>12. Total Duty Per Material</t>
  </si>
  <si>
    <t>13. Total Shipment Invoice Value</t>
  </si>
  <si>
    <t>14. Freight</t>
  </si>
  <si>
    <t>15. Currency Conversion Rate</t>
  </si>
  <si>
    <t>16. Miscellaneous Cost</t>
  </si>
  <si>
    <t>17. Insurance Rate</t>
  </si>
  <si>
    <t>18. Insurance Value</t>
  </si>
  <si>
    <t>Strict Output Formatting Rules:</t>
  </si>
  <si>
    <r>
      <t>Format:</t>
    </r>
    <r>
      <rPr>
        <sz val="11"/>
        <color theme="1"/>
        <rFont val="Aptos Narrow"/>
        <family val="2"/>
        <scheme val="minor"/>
      </rPr>
      <t xml:space="preserve"> Present the data strictly as a Markdown table (or comma-separated values if a table is not possible).</t>
    </r>
  </si>
  <si>
    <r>
      <t>No Merged Cells:</t>
    </r>
    <r>
      <rPr>
        <sz val="11"/>
        <color theme="1"/>
        <rFont val="Aptos Narrow"/>
        <family val="2"/>
        <scheme val="minor"/>
      </rPr>
      <t xml:space="preserve"> Do not merge any cells under any circumstances.</t>
    </r>
  </si>
  <si>
    <r>
      <t>Flat Data Structure:</t>
    </r>
    <r>
      <rPr>
        <sz val="11"/>
        <color theme="1"/>
        <rFont val="Aptos Narrow"/>
        <family val="2"/>
        <scheme val="minor"/>
      </rPr>
      <t xml:space="preserve"> Place every single requested data point in its own dedicated column.</t>
    </r>
  </si>
  <si>
    <r>
      <t>Row Consistency:</t>
    </r>
    <r>
      <rPr>
        <sz val="11"/>
        <color theme="1"/>
        <rFont val="Aptos Narrow"/>
        <family val="2"/>
        <scheme val="minor"/>
      </rPr>
      <t xml:space="preserve"> For shipment-level data (like Freight, Currency Conversion Rate, Total Invoice Value, etc.), repeat the value in every row for each individual material so the table remains flat and fully populated.</t>
    </r>
  </si>
  <si>
    <r>
      <t>Clean Numbers:</t>
    </r>
    <r>
      <rPr>
        <sz val="11"/>
        <color theme="1"/>
        <rFont val="Aptos Narrow"/>
        <family val="2"/>
        <scheme val="minor"/>
      </rPr>
      <t xml:space="preserve"> Ensure numerical values are formatted cleanly so they are immediately calculable in Excel (e.g., avoid mixing text and numbers in the same cell).</t>
    </r>
  </si>
  <si>
    <t>*Only Mentioned Required Details in Input Form Sheet Yellow Highlighted 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</si>
</sst>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₹&quot;\ #,##0.00"/>
    <numFmt numFmtId="165" formatCode="[$$-45C]#,##0.00"/>
    <numFmt numFmtId="166" formatCode="&quot;₹&quot;#,##0.00"/>
    <numFmt numFmtId="167" formatCode="\₹\ #,##0.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6"/>
      <color rgb="FF1F4E79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 vertical="center" wrapText="1"/>
    </xf>
    <xf numFmtId="0" fontId="4" fillId="0" borderId="0" xfId="0" applyFont="1"/>
    <xf numFmtId="0" fontId="0" fillId="0" borderId="7" xfId="0" applyBorder="1" applyAlignment="1">
      <alignment horizontal="left" vertical="center" wrapText="1"/>
    </xf>
    <xf numFmtId="0" fontId="2" fillId="3" borderId="7" xfId="0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164" fontId="0" fillId="5" borderId="1" xfId="0" applyNumberFormat="1" applyFill="1" applyBorder="1" applyAlignment="1">
      <alignment horizontal="center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167" fontId="0" fillId="0" borderId="1" xfId="0" applyNumberFormat="1" applyBorder="1" applyAlignment="1">
      <alignment horizontal="left" vertical="center"/>
    </xf>
    <xf numFmtId="167" fontId="0" fillId="0" borderId="1" xfId="1" applyNumberFormat="1" applyFont="1" applyBorder="1" applyAlignment="1">
      <alignment horizontal="left" vertical="center"/>
    </xf>
    <xf numFmtId="0" fontId="3" fillId="4" borderId="3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0" fontId="3" fillId="4" borderId="11" xfId="0" applyFont="1" applyFill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5" borderId="7" xfId="0" applyFont="1" applyFill="1" applyBorder="1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0" xfId="0" applyAlignment="1">
      <alignment horizontal="centerContinuous"/>
    </xf>
    <xf numFmtId="0" fontId="2" fillId="0" borderId="0" xfId="0" applyFont="1"/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3" fontId="0" fillId="2" borderId="7" xfId="0" applyNumberFormat="1" applyFill="1" applyBorder="1" applyAlignment="1" applyProtection="1">
      <alignment horizontal="left"/>
      <protection locked="0"/>
    </xf>
    <xf numFmtId="4" fontId="0" fillId="2" borderId="8" xfId="0" applyNumberFormat="1" applyFill="1" applyBorder="1" applyAlignment="1" applyProtection="1">
      <alignment horizontal="left"/>
      <protection locked="0"/>
    </xf>
    <xf numFmtId="165" fontId="0" fillId="2" borderId="8" xfId="0" applyNumberFormat="1" applyFill="1" applyBorder="1" applyAlignment="1" applyProtection="1">
      <alignment horizontal="left"/>
      <protection locked="0"/>
    </xf>
    <xf numFmtId="167" fontId="0" fillId="2" borderId="8" xfId="0" applyNumberFormat="1" applyFill="1" applyBorder="1" applyAlignment="1" applyProtection="1">
      <alignment horizontal="left"/>
      <protection locked="0"/>
    </xf>
    <xf numFmtId="9" fontId="0" fillId="2" borderId="8" xfId="0" applyNumberFormat="1" applyFill="1" applyBorder="1" applyAlignment="1" applyProtection="1">
      <alignment horizontal="left"/>
      <protection locked="0"/>
    </xf>
    <xf numFmtId="165" fontId="0" fillId="2" borderId="9" xfId="0" applyNumberFormat="1" applyFill="1" applyBorder="1" applyAlignment="1" applyProtection="1">
      <alignment horizontal="left"/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Alignment="1" applyProtection="1">
      <alignment horizontal="center"/>
      <protection locked="0"/>
    </xf>
    <xf numFmtId="165" fontId="0" fillId="2" borderId="1" xfId="0" applyNumberFormat="1" applyFill="1" applyBorder="1" applyAlignment="1" applyProtection="1">
      <alignment horizontal="center"/>
      <protection locked="0"/>
    </xf>
    <xf numFmtId="3" fontId="0" fillId="2" borderId="1" xfId="0" applyNumberFormat="1" applyFill="1" applyBorder="1" applyAlignment="1" applyProtection="1">
      <alignment horizontal="center"/>
      <protection locked="0"/>
    </xf>
    <xf numFmtId="9" fontId="0" fillId="2" borderId="1" xfId="0" applyNumberFormat="1" applyFill="1" applyBorder="1" applyAlignment="1" applyProtection="1">
      <alignment horizontal="center"/>
      <protection locked="0"/>
    </xf>
    <xf numFmtId="0" fontId="0" fillId="2" borderId="1" xfId="0" applyFill="1" applyBorder="1" applyAlignment="1" applyProtection="1">
      <alignment horizontal="left" vertical="center"/>
      <protection locked="0"/>
    </xf>
    <xf numFmtId="165" fontId="0" fillId="2" borderId="1" xfId="0" applyNumberFormat="1" applyFill="1" applyBorder="1" applyAlignment="1" applyProtection="1">
      <alignment horizontal="left" vertical="center"/>
      <protection locked="0"/>
    </xf>
    <xf numFmtId="164" fontId="0" fillId="2" borderId="1" xfId="0" applyNumberFormat="1" applyFill="1" applyBorder="1" applyAlignment="1" applyProtection="1">
      <alignment horizontal="left" vertical="center"/>
      <protection locked="0"/>
    </xf>
    <xf numFmtId="9" fontId="0" fillId="2" borderId="1" xfId="1" applyFont="1" applyFill="1" applyBorder="1" applyAlignment="1" applyProtection="1">
      <alignment horizontal="left" vertical="center"/>
      <protection locked="0"/>
    </xf>
    <xf numFmtId="0" fontId="0" fillId="2" borderId="7" xfId="0" applyFill="1" applyBorder="1" applyAlignment="1" applyProtection="1">
      <alignment horizontal="left" vertical="center" wrapText="1"/>
      <protection locked="0"/>
    </xf>
    <xf numFmtId="166" fontId="0" fillId="2" borderId="1" xfId="0" applyNumberFormat="1" applyFill="1" applyBorder="1" applyAlignment="1" applyProtection="1">
      <alignment horizontal="left" vertical="center"/>
      <protection locked="0"/>
    </xf>
    <xf numFmtId="3" fontId="0" fillId="2" borderId="1" xfId="0" applyNumberFormat="1" applyFill="1" applyBorder="1" applyAlignment="1" applyProtection="1">
      <alignment horizontal="left" vertical="center"/>
      <protection locked="0"/>
    </xf>
    <xf numFmtId="9" fontId="0" fillId="2" borderId="1" xfId="0" applyNumberFormat="1" applyFill="1" applyBorder="1" applyAlignment="1" applyProtection="1">
      <alignment horizontal="left" vertic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">
    <dxf>
      <fill>
        <patternFill patternType="solid">
          <fgColor indexed="64"/>
          <bgColor rgb="FFE2EFD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eril Life sciences Pvt Ltd" id="{0287F2C4-DD2A-45DD-A215-811F9BDDDF1D}" userId="d61fed538f58181e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4" dT="2026-06-26T04:29:20.38" personId="{0287F2C4-DD2A-45DD-A215-811F9BDDDF1D}" id="{47DAF7BA-6AFF-440B-8A41-57A6FB4A31A1}">
    <text>SAP Price(1to 2% Higher By adding miscellaneous Charges Of Agent Fees &amp; Transport Cost)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5E76164-DE0D-4E26-92E6-EE79F65FF94C}">
  <we:reference id="wa200004935" version="6.1.0.0" store="en-US" storeType="OMEX"/>
  <we:alternateReferences>
    <we:reference id="WA200004935" version="6.1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_xldudf_FORMULABOT_CLASSIFY</we:customFunctionIds>
        <we:customFunctionIds>_xldudf_FORMULABOT_EXTRACT</we:customFunctionIds>
        <we:customFunctionIds>_xldudf_FORMULABOT_SENTIMENT</we:customFunctionIds>
        <we:customFunctionIds>_xldudf_FORMULABOT_INFO</we:customFunctionIds>
        <we:customFunctionIds>_xldudf_FORMULABOT_FREEFORM</we:customFunctionIds>
        <we:customFunctionIds>_xldudf_FORMULABOT_INFER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C6701-4E52-4F4B-8DC8-18B4805B4155}">
  <dimension ref="B3:L60"/>
  <sheetViews>
    <sheetView showGridLines="0" tabSelected="1" zoomScale="103" workbookViewId="0">
      <selection activeCell="H11" sqref="H11"/>
    </sheetView>
  </sheetViews>
  <sheetFormatPr defaultRowHeight="15" x14ac:dyDescent="0.25"/>
  <sheetData>
    <row r="3" spans="2:12" x14ac:dyDescent="0.25">
      <c r="B3" s="24" t="s">
        <v>36</v>
      </c>
    </row>
    <row r="4" spans="2:12" x14ac:dyDescent="0.25">
      <c r="B4" s="24" t="s">
        <v>65</v>
      </c>
    </row>
    <row r="6" spans="2:12" x14ac:dyDescent="0.25">
      <c r="B6" s="24" t="s">
        <v>37</v>
      </c>
    </row>
    <row r="8" spans="2:12" x14ac:dyDescent="0.25">
      <c r="B8" s="24" t="s">
        <v>38</v>
      </c>
      <c r="C8" s="23"/>
      <c r="D8" s="23"/>
      <c r="E8" s="23"/>
      <c r="F8" s="23"/>
      <c r="G8" s="23"/>
      <c r="H8" s="23"/>
      <c r="I8" s="23"/>
      <c r="J8" s="23"/>
      <c r="K8" s="23"/>
      <c r="L8" s="23"/>
    </row>
    <row r="10" spans="2:12" x14ac:dyDescent="0.25">
      <c r="B10" s="24" t="s">
        <v>39</v>
      </c>
    </row>
    <row r="12" spans="2:12" x14ac:dyDescent="0.25">
      <c r="B12" s="24" t="s">
        <v>40</v>
      </c>
    </row>
    <row r="13" spans="2:12" x14ac:dyDescent="0.25">
      <c r="B13" s="25"/>
    </row>
    <row r="14" spans="2:12" x14ac:dyDescent="0.25">
      <c r="B14" s="25" t="s">
        <v>41</v>
      </c>
    </row>
    <row r="15" spans="2:12" x14ac:dyDescent="0.25">
      <c r="B15" s="25"/>
    </row>
    <row r="16" spans="2:12" x14ac:dyDescent="0.25">
      <c r="B16" s="25" t="s">
        <v>42</v>
      </c>
    </row>
    <row r="17" spans="2:2" x14ac:dyDescent="0.25">
      <c r="B17" s="25"/>
    </row>
    <row r="18" spans="2:2" x14ac:dyDescent="0.25">
      <c r="B18" s="25" t="s">
        <v>43</v>
      </c>
    </row>
    <row r="19" spans="2:2" x14ac:dyDescent="0.25">
      <c r="B19" s="25"/>
    </row>
    <row r="20" spans="2:2" x14ac:dyDescent="0.25">
      <c r="B20" s="25" t="s">
        <v>44</v>
      </c>
    </row>
    <row r="21" spans="2:2" x14ac:dyDescent="0.25">
      <c r="B21" s="25"/>
    </row>
    <row r="22" spans="2:2" x14ac:dyDescent="0.25">
      <c r="B22" s="25" t="s">
        <v>45</v>
      </c>
    </row>
    <row r="23" spans="2:2" x14ac:dyDescent="0.25">
      <c r="B23" s="25"/>
    </row>
    <row r="24" spans="2:2" x14ac:dyDescent="0.25">
      <c r="B24" s="25" t="s">
        <v>46</v>
      </c>
    </row>
    <row r="25" spans="2:2" x14ac:dyDescent="0.25">
      <c r="B25" s="25"/>
    </row>
    <row r="26" spans="2:2" x14ac:dyDescent="0.25">
      <c r="B26" s="25" t="s">
        <v>47</v>
      </c>
    </row>
    <row r="27" spans="2:2" x14ac:dyDescent="0.25">
      <c r="B27" s="25"/>
    </row>
    <row r="28" spans="2:2" x14ac:dyDescent="0.25">
      <c r="B28" s="25" t="s">
        <v>48</v>
      </c>
    </row>
    <row r="29" spans="2:2" x14ac:dyDescent="0.25">
      <c r="B29" s="25"/>
    </row>
    <row r="30" spans="2:2" x14ac:dyDescent="0.25">
      <c r="B30" s="25" t="s">
        <v>49</v>
      </c>
    </row>
    <row r="31" spans="2:2" x14ac:dyDescent="0.25">
      <c r="B31" s="25"/>
    </row>
    <row r="32" spans="2:2" x14ac:dyDescent="0.25">
      <c r="B32" s="25" t="s">
        <v>50</v>
      </c>
    </row>
    <row r="33" spans="2:2" x14ac:dyDescent="0.25">
      <c r="B33" s="25"/>
    </row>
    <row r="34" spans="2:2" x14ac:dyDescent="0.25">
      <c r="B34" s="25" t="s">
        <v>51</v>
      </c>
    </row>
    <row r="35" spans="2:2" x14ac:dyDescent="0.25">
      <c r="B35" s="25"/>
    </row>
    <row r="36" spans="2:2" x14ac:dyDescent="0.25">
      <c r="B36" s="25" t="s">
        <v>52</v>
      </c>
    </row>
    <row r="37" spans="2:2" x14ac:dyDescent="0.25">
      <c r="B37" s="25"/>
    </row>
    <row r="38" spans="2:2" x14ac:dyDescent="0.25">
      <c r="B38" s="25" t="s">
        <v>53</v>
      </c>
    </row>
    <row r="39" spans="2:2" x14ac:dyDescent="0.25">
      <c r="B39" s="25"/>
    </row>
    <row r="40" spans="2:2" x14ac:dyDescent="0.25">
      <c r="B40" s="25" t="s">
        <v>54</v>
      </c>
    </row>
    <row r="41" spans="2:2" x14ac:dyDescent="0.25">
      <c r="B41" s="25"/>
    </row>
    <row r="42" spans="2:2" x14ac:dyDescent="0.25">
      <c r="B42" s="25" t="s">
        <v>55</v>
      </c>
    </row>
    <row r="43" spans="2:2" x14ac:dyDescent="0.25">
      <c r="B43" s="25"/>
    </row>
    <row r="44" spans="2:2" x14ac:dyDescent="0.25">
      <c r="B44" s="25" t="s">
        <v>56</v>
      </c>
    </row>
    <row r="45" spans="2:2" x14ac:dyDescent="0.25">
      <c r="B45" s="25"/>
    </row>
    <row r="46" spans="2:2" x14ac:dyDescent="0.25">
      <c r="B46" s="25" t="s">
        <v>57</v>
      </c>
    </row>
    <row r="47" spans="2:2" x14ac:dyDescent="0.25">
      <c r="B47" s="25"/>
    </row>
    <row r="48" spans="2:2" x14ac:dyDescent="0.25">
      <c r="B48" s="25" t="s">
        <v>58</v>
      </c>
    </row>
    <row r="50" spans="2:2" x14ac:dyDescent="0.25">
      <c r="B50" s="24" t="s">
        <v>59</v>
      </c>
    </row>
    <row r="51" spans="2:2" x14ac:dyDescent="0.25">
      <c r="B51" s="25"/>
    </row>
    <row r="52" spans="2:2" x14ac:dyDescent="0.25">
      <c r="B52" s="26" t="s">
        <v>60</v>
      </c>
    </row>
    <row r="53" spans="2:2" x14ac:dyDescent="0.25">
      <c r="B53" s="25"/>
    </row>
    <row r="54" spans="2:2" x14ac:dyDescent="0.25">
      <c r="B54" s="26" t="s">
        <v>61</v>
      </c>
    </row>
    <row r="55" spans="2:2" x14ac:dyDescent="0.25">
      <c r="B55" s="25"/>
    </row>
    <row r="56" spans="2:2" x14ac:dyDescent="0.25">
      <c r="B56" s="26" t="s">
        <v>62</v>
      </c>
    </row>
    <row r="57" spans="2:2" x14ac:dyDescent="0.25">
      <c r="B57" s="25"/>
    </row>
    <row r="58" spans="2:2" x14ac:dyDescent="0.25">
      <c r="B58" s="26" t="s">
        <v>63</v>
      </c>
    </row>
    <row r="59" spans="2:2" x14ac:dyDescent="0.25">
      <c r="B59" s="25"/>
    </row>
    <row r="60" spans="2:2" x14ac:dyDescent="0.25">
      <c r="B60" s="26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91BD2-96FF-461F-A398-E509E3C70A19}">
  <dimension ref="B2:H34"/>
  <sheetViews>
    <sheetView showGridLines="0" zoomScale="91" zoomScaleNormal="91" workbookViewId="0">
      <selection activeCell="B8" sqref="B8"/>
    </sheetView>
  </sheetViews>
  <sheetFormatPr defaultRowHeight="15" x14ac:dyDescent="0.25"/>
  <cols>
    <col min="2" max="2" width="22.140625" customWidth="1"/>
    <col min="3" max="3" width="18.85546875" bestFit="1" customWidth="1"/>
    <col min="4" max="4" width="14.5703125" customWidth="1"/>
    <col min="5" max="5" width="16.42578125" customWidth="1"/>
    <col min="6" max="6" width="10.7109375" bestFit="1" customWidth="1"/>
    <col min="7" max="7" width="12.85546875" bestFit="1" customWidth="1"/>
    <col min="8" max="8" width="13.140625" bestFit="1" customWidth="1"/>
  </cols>
  <sheetData>
    <row r="2" spans="2:8" ht="21" x14ac:dyDescent="0.35">
      <c r="B2" s="3" t="s">
        <v>23</v>
      </c>
    </row>
    <row r="4" spans="2:8" x14ac:dyDescent="0.25">
      <c r="B4" s="46" t="s">
        <v>24</v>
      </c>
      <c r="C4" s="47"/>
    </row>
    <row r="5" spans="2:8" x14ac:dyDescent="0.25">
      <c r="B5" s="18" t="s">
        <v>25</v>
      </c>
      <c r="C5" s="27"/>
    </row>
    <row r="6" spans="2:8" x14ac:dyDescent="0.25">
      <c r="B6" s="18" t="s">
        <v>4</v>
      </c>
      <c r="C6" s="28"/>
    </row>
    <row r="7" spans="2:8" x14ac:dyDescent="0.25">
      <c r="B7" s="18" t="s">
        <v>26</v>
      </c>
      <c r="C7" s="29"/>
    </row>
    <row r="8" spans="2:8" x14ac:dyDescent="0.25">
      <c r="B8" s="18" t="s">
        <v>27</v>
      </c>
      <c r="C8" s="30"/>
    </row>
    <row r="9" spans="2:8" x14ac:dyDescent="0.25">
      <c r="B9" s="18" t="s">
        <v>28</v>
      </c>
      <c r="C9" s="31"/>
    </row>
    <row r="10" spans="2:8" x14ac:dyDescent="0.25">
      <c r="B10" s="19" t="s">
        <v>29</v>
      </c>
      <c r="C10" s="32"/>
    </row>
    <row r="11" spans="2:8" x14ac:dyDescent="0.25">
      <c r="B11" s="20"/>
    </row>
    <row r="12" spans="2:8" x14ac:dyDescent="0.25">
      <c r="B12" s="20"/>
    </row>
    <row r="13" spans="2:8" x14ac:dyDescent="0.25">
      <c r="B13" s="15" t="s">
        <v>33</v>
      </c>
      <c r="C13" s="16"/>
      <c r="D13" s="16"/>
      <c r="E13" s="16"/>
      <c r="F13" s="16"/>
      <c r="G13" s="16"/>
      <c r="H13" s="17"/>
    </row>
    <row r="14" spans="2:8" s="22" customFormat="1" ht="45" x14ac:dyDescent="0.25">
      <c r="B14" s="33" t="s">
        <v>30</v>
      </c>
      <c r="C14" s="33" t="s">
        <v>31</v>
      </c>
      <c r="D14" s="33" t="s">
        <v>9</v>
      </c>
      <c r="E14" s="33" t="s">
        <v>32</v>
      </c>
      <c r="F14" s="21" t="s">
        <v>16</v>
      </c>
      <c r="G14" s="21" t="s">
        <v>35</v>
      </c>
      <c r="H14" s="21" t="s">
        <v>34</v>
      </c>
    </row>
    <row r="15" spans="2:8" s="6" customFormat="1" x14ac:dyDescent="0.25">
      <c r="B15" s="34"/>
      <c r="C15" s="35"/>
      <c r="D15" s="36"/>
      <c r="E15" s="37"/>
      <c r="F15" s="7" t="str">
        <f>Calculation!O11</f>
        <v/>
      </c>
      <c r="G15" s="7" t="str">
        <f>Calculation!P11</f>
        <v/>
      </c>
      <c r="H15" s="7" t="str">
        <f>Calculation!Q11</f>
        <v/>
      </c>
    </row>
    <row r="16" spans="2:8" x14ac:dyDescent="0.25">
      <c r="B16" s="34"/>
      <c r="C16" s="35"/>
      <c r="D16" s="36"/>
      <c r="E16" s="37"/>
      <c r="F16" s="7"/>
      <c r="G16" s="7"/>
      <c r="H16" s="7"/>
    </row>
    <row r="17" spans="2:8" x14ac:dyDescent="0.25">
      <c r="B17" s="34"/>
      <c r="C17" s="35"/>
      <c r="D17" s="36"/>
      <c r="E17" s="37"/>
      <c r="F17" s="7" t="str">
        <f>Calculation!O13</f>
        <v/>
      </c>
      <c r="G17" s="7" t="str">
        <f>Calculation!P13</f>
        <v/>
      </c>
      <c r="H17" s="7" t="str">
        <f>Calculation!Q13</f>
        <v/>
      </c>
    </row>
    <row r="18" spans="2:8" x14ac:dyDescent="0.25">
      <c r="B18" s="34"/>
      <c r="C18" s="35"/>
      <c r="D18" s="36"/>
      <c r="E18" s="37"/>
      <c r="F18" s="7" t="str">
        <f>Calculation!O14</f>
        <v/>
      </c>
      <c r="G18" s="7" t="str">
        <f>Calculation!P14</f>
        <v/>
      </c>
      <c r="H18" s="7" t="str">
        <f>Calculation!Q14</f>
        <v/>
      </c>
    </row>
    <row r="19" spans="2:8" x14ac:dyDescent="0.25">
      <c r="B19" s="34"/>
      <c r="C19" s="35"/>
      <c r="D19" s="36"/>
      <c r="E19" s="37"/>
      <c r="F19" s="7" t="str">
        <f>Calculation!O15</f>
        <v/>
      </c>
      <c r="G19" s="7" t="str">
        <f>Calculation!P15</f>
        <v/>
      </c>
      <c r="H19" s="7" t="str">
        <f>Calculation!Q15</f>
        <v/>
      </c>
    </row>
    <row r="20" spans="2:8" x14ac:dyDescent="0.25">
      <c r="B20" s="34"/>
      <c r="C20" s="35"/>
      <c r="D20" s="36"/>
      <c r="E20" s="37"/>
      <c r="F20" s="7" t="str">
        <f>Calculation!O16</f>
        <v/>
      </c>
      <c r="G20" s="7" t="str">
        <f>Calculation!P16</f>
        <v/>
      </c>
      <c r="H20" s="7" t="str">
        <f>Calculation!Q16</f>
        <v/>
      </c>
    </row>
    <row r="21" spans="2:8" x14ac:dyDescent="0.25">
      <c r="B21" s="34"/>
      <c r="C21" s="35"/>
      <c r="D21" s="36"/>
      <c r="E21" s="37"/>
      <c r="F21" s="7" t="str">
        <f>Calculation!O17</f>
        <v/>
      </c>
      <c r="G21" s="7" t="str">
        <f>Calculation!P17</f>
        <v/>
      </c>
      <c r="H21" s="7" t="str">
        <f>Calculation!Q17</f>
        <v/>
      </c>
    </row>
    <row r="22" spans="2:8" x14ac:dyDescent="0.25">
      <c r="B22" s="34"/>
      <c r="C22" s="35"/>
      <c r="D22" s="36"/>
      <c r="E22" s="37"/>
      <c r="F22" s="7" t="str">
        <f>Calculation!O18</f>
        <v/>
      </c>
      <c r="G22" s="7" t="str">
        <f>Calculation!P18</f>
        <v/>
      </c>
      <c r="H22" s="7" t="str">
        <f>Calculation!Q18</f>
        <v/>
      </c>
    </row>
    <row r="23" spans="2:8" x14ac:dyDescent="0.25">
      <c r="B23" s="34"/>
      <c r="C23" s="35"/>
      <c r="D23" s="36"/>
      <c r="E23" s="37"/>
      <c r="F23" s="7" t="str">
        <f>Calculation!O19</f>
        <v/>
      </c>
      <c r="G23" s="7" t="str">
        <f>Calculation!P19</f>
        <v/>
      </c>
      <c r="H23" s="7" t="str">
        <f>Calculation!Q19</f>
        <v/>
      </c>
    </row>
    <row r="24" spans="2:8" x14ac:dyDescent="0.25">
      <c r="B24" s="34"/>
      <c r="C24" s="35"/>
      <c r="D24" s="36"/>
      <c r="E24" s="37"/>
      <c r="F24" s="7" t="str">
        <f>Calculation!O20</f>
        <v/>
      </c>
      <c r="G24" s="7" t="str">
        <f>Calculation!P20</f>
        <v/>
      </c>
      <c r="H24" s="7" t="str">
        <f>Calculation!Q20</f>
        <v/>
      </c>
    </row>
    <row r="25" spans="2:8" x14ac:dyDescent="0.25">
      <c r="B25" s="34"/>
      <c r="C25" s="35"/>
      <c r="D25" s="36"/>
      <c r="E25" s="37"/>
      <c r="F25" s="7" t="str">
        <f>Calculation!O21</f>
        <v/>
      </c>
      <c r="G25" s="7" t="str">
        <f>Calculation!P21</f>
        <v/>
      </c>
      <c r="H25" s="7" t="str">
        <f>Calculation!Q21</f>
        <v/>
      </c>
    </row>
    <row r="26" spans="2:8" x14ac:dyDescent="0.25">
      <c r="B26" s="34"/>
      <c r="C26" s="35"/>
      <c r="D26" s="36"/>
      <c r="E26" s="37"/>
      <c r="F26" s="7" t="str">
        <f>Calculation!O22</f>
        <v/>
      </c>
      <c r="G26" s="7" t="str">
        <f>Calculation!P22</f>
        <v/>
      </c>
      <c r="H26" s="7" t="str">
        <f>Calculation!Q22</f>
        <v/>
      </c>
    </row>
    <row r="27" spans="2:8" x14ac:dyDescent="0.25">
      <c r="B27" s="34"/>
      <c r="C27" s="35"/>
      <c r="D27" s="36"/>
      <c r="E27" s="37"/>
      <c r="F27" s="7" t="str">
        <f>Calculation!O23</f>
        <v/>
      </c>
      <c r="G27" s="7" t="str">
        <f>Calculation!P23</f>
        <v/>
      </c>
      <c r="H27" s="7" t="str">
        <f>Calculation!Q23</f>
        <v/>
      </c>
    </row>
    <row r="28" spans="2:8" x14ac:dyDescent="0.25">
      <c r="B28" s="34"/>
      <c r="C28" s="35"/>
      <c r="D28" s="36"/>
      <c r="E28" s="37"/>
      <c r="F28" s="7" t="str">
        <f>Calculation!O24</f>
        <v/>
      </c>
      <c r="G28" s="7" t="str">
        <f>Calculation!P24</f>
        <v/>
      </c>
      <c r="H28" s="7" t="str">
        <f>Calculation!Q24</f>
        <v/>
      </c>
    </row>
    <row r="29" spans="2:8" ht="20.100000000000001" customHeight="1" x14ac:dyDescent="0.25">
      <c r="B29" s="34"/>
      <c r="C29" s="35"/>
      <c r="D29" s="36"/>
      <c r="E29" s="37"/>
      <c r="F29" s="7" t="str">
        <f>Calculation!O25</f>
        <v/>
      </c>
      <c r="G29" s="7" t="str">
        <f>Calculation!P25</f>
        <v/>
      </c>
      <c r="H29" s="7" t="str">
        <f>Calculation!Q25</f>
        <v/>
      </c>
    </row>
    <row r="30" spans="2:8" ht="20.100000000000001" customHeight="1" x14ac:dyDescent="0.25">
      <c r="B30" s="34"/>
      <c r="C30" s="35"/>
      <c r="D30" s="36"/>
      <c r="E30" s="37"/>
      <c r="F30" s="7" t="str">
        <f>Calculation!O26</f>
        <v/>
      </c>
      <c r="G30" s="7" t="str">
        <f>Calculation!P26</f>
        <v/>
      </c>
      <c r="H30" s="7" t="str">
        <f>Calculation!Q26</f>
        <v/>
      </c>
    </row>
    <row r="31" spans="2:8" x14ac:dyDescent="0.25">
      <c r="B31" s="34"/>
      <c r="C31" s="35"/>
      <c r="D31" s="36"/>
      <c r="E31" s="37"/>
      <c r="F31" s="7" t="str">
        <f>Calculation!O27</f>
        <v/>
      </c>
      <c r="G31" s="7" t="str">
        <f>Calculation!P27</f>
        <v/>
      </c>
      <c r="H31" s="7" t="str">
        <f>Calculation!Q27</f>
        <v/>
      </c>
    </row>
    <row r="32" spans="2:8" ht="20.100000000000001" customHeight="1" x14ac:dyDescent="0.25">
      <c r="B32" s="34"/>
      <c r="C32" s="35"/>
      <c r="D32" s="36"/>
      <c r="E32" s="37"/>
      <c r="F32" s="7" t="str">
        <f>Calculation!O28</f>
        <v/>
      </c>
      <c r="G32" s="7" t="str">
        <f>Calculation!P28</f>
        <v/>
      </c>
      <c r="H32" s="7" t="str">
        <f>Calculation!Q28</f>
        <v/>
      </c>
    </row>
    <row r="33" spans="2:8" ht="20.100000000000001" customHeight="1" x14ac:dyDescent="0.25">
      <c r="B33" s="34"/>
      <c r="C33" s="35"/>
      <c r="D33" s="36"/>
      <c r="E33" s="37"/>
      <c r="F33" s="7" t="str">
        <f>Calculation!O29</f>
        <v/>
      </c>
      <c r="G33" s="7" t="str">
        <f>Calculation!P29</f>
        <v/>
      </c>
      <c r="H33" s="7" t="str">
        <f>Calculation!Q29</f>
        <v/>
      </c>
    </row>
    <row r="34" spans="2:8" x14ac:dyDescent="0.25">
      <c r="B34" s="34"/>
      <c r="C34" s="35"/>
      <c r="D34" s="36"/>
      <c r="E34" s="37"/>
      <c r="F34" s="7" t="str">
        <f>Calculation!O30</f>
        <v/>
      </c>
      <c r="G34" s="7" t="str">
        <f>Calculation!P30</f>
        <v/>
      </c>
      <c r="H34" s="7" t="str">
        <f>Calculation!Q30</f>
        <v/>
      </c>
    </row>
  </sheetData>
  <protectedRanges>
    <protectedRange algorithmName="SHA-512" hashValue="q1I6mCTZsueF+zHgoIa9THOU3PTGjbaGmEW/g17qr0pVdggojhkbmXVoOMmo5ehnnlBxbfO3dLRzp0OMT1SyFA==" saltValue="/NuUMaZ5Maqmvlnon8dXZA==" spinCount="100000" sqref="C5:C10 B14:E34" name="Range1"/>
  </protectedRanges>
  <mergeCells count="1">
    <mergeCell ref="B4:C4"/>
  </mergeCells>
  <pageMargins left="0.7" right="0.7" top="0.75" bottom="0.75" header="0.3" footer="0.3"/>
  <pageSetup paperSize="9" orientation="portrait" horizontalDpi="0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84764-FC42-4F13-B185-E517094F1BBE}">
  <dimension ref="A1:Q30"/>
  <sheetViews>
    <sheetView showGridLines="0" topLeftCell="A12" workbookViewId="0">
      <selection activeCell="A10" sqref="A10"/>
    </sheetView>
  </sheetViews>
  <sheetFormatPr defaultRowHeight="15" x14ac:dyDescent="0.25"/>
  <cols>
    <col min="1" max="1" width="5.85546875" bestFit="1" customWidth="1"/>
    <col min="2" max="2" width="18.85546875" bestFit="1" customWidth="1"/>
    <col min="3" max="3" width="10.28515625" bestFit="1" customWidth="1"/>
    <col min="4" max="4" width="12.85546875" style="1" bestFit="1" customWidth="1"/>
    <col min="5" max="5" width="12.85546875" bestFit="1" customWidth="1"/>
    <col min="6" max="6" width="10.28515625" bestFit="1" customWidth="1"/>
    <col min="7" max="7" width="9.28515625" bestFit="1" customWidth="1"/>
    <col min="8" max="8" width="11.42578125" bestFit="1" customWidth="1"/>
    <col min="9" max="9" width="11.85546875" bestFit="1" customWidth="1"/>
    <col min="10" max="10" width="8.5703125" bestFit="1" customWidth="1"/>
    <col min="11" max="11" width="10.28515625" bestFit="1" customWidth="1"/>
    <col min="12" max="12" width="9.28515625" bestFit="1" customWidth="1"/>
    <col min="13" max="14" width="11.85546875" bestFit="1" customWidth="1"/>
    <col min="15" max="15" width="9.140625" customWidth="1"/>
    <col min="16" max="16" width="17.28515625" bestFit="1" customWidth="1"/>
    <col min="17" max="17" width="20.85546875" customWidth="1"/>
  </cols>
  <sheetData>
    <row r="1" spans="1:17" x14ac:dyDescent="0.25">
      <c r="A1" s="8"/>
      <c r="B1" s="8" t="s">
        <v>19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spans="1:17" x14ac:dyDescent="0.25">
      <c r="A2" s="8"/>
      <c r="B2" s="9" t="s">
        <v>5</v>
      </c>
      <c r="C2" s="38">
        <f>'Input Form'!C5</f>
        <v>0</v>
      </c>
      <c r="D2" s="10" t="s">
        <v>18</v>
      </c>
      <c r="E2" s="11">
        <f>IF(C2=0,0,D5/C2)</f>
        <v>0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1:17" x14ac:dyDescent="0.25">
      <c r="A3" s="8"/>
      <c r="B3" s="9" t="s">
        <v>4</v>
      </c>
      <c r="C3" s="38">
        <f>'Input Form'!C6</f>
        <v>0</v>
      </c>
      <c r="D3" s="10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</row>
    <row r="4" spans="1:17" x14ac:dyDescent="0.25">
      <c r="A4" s="8"/>
      <c r="B4" s="9" t="s">
        <v>0</v>
      </c>
      <c r="C4" s="39">
        <f>'Input Form'!C7</f>
        <v>0</v>
      </c>
      <c r="D4" s="12">
        <f>C4*C3</f>
        <v>0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</row>
    <row r="5" spans="1:17" x14ac:dyDescent="0.25">
      <c r="A5" s="8"/>
      <c r="B5" s="9" t="s">
        <v>1</v>
      </c>
      <c r="C5" s="40">
        <f>'Input Form'!C8</f>
        <v>0</v>
      </c>
      <c r="D5" s="12">
        <f>C5</f>
        <v>0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</row>
    <row r="6" spans="1:17" x14ac:dyDescent="0.25">
      <c r="A6" s="8"/>
      <c r="B6" s="9" t="s">
        <v>2</v>
      </c>
      <c r="C6" s="41">
        <f>'Input Form'!C9</f>
        <v>0</v>
      </c>
      <c r="D6" s="12">
        <f>(D4+D7)*C6</f>
        <v>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</row>
    <row r="7" spans="1:17" x14ac:dyDescent="0.25">
      <c r="A7" s="8"/>
      <c r="B7" s="9" t="s">
        <v>3</v>
      </c>
      <c r="C7" s="38">
        <f>'Input Form'!C10</f>
        <v>0</v>
      </c>
      <c r="D7" s="12">
        <f>C7*C3</f>
        <v>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</row>
    <row r="8" spans="1:17" x14ac:dyDescent="0.25">
      <c r="A8" s="8"/>
      <c r="B8" s="10" t="s">
        <v>6</v>
      </c>
      <c r="C8" s="10"/>
      <c r="D8" s="12">
        <f>SUM(D4:D7)</f>
        <v>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</row>
    <row r="9" spans="1:17" ht="90" x14ac:dyDescent="0.25">
      <c r="A9" s="8"/>
      <c r="B9" s="8"/>
      <c r="C9" s="8"/>
      <c r="D9" s="8"/>
      <c r="E9" s="11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2" t="s">
        <v>20</v>
      </c>
    </row>
    <row r="10" spans="1:17" ht="60" x14ac:dyDescent="0.25">
      <c r="A10" s="4" t="s">
        <v>14</v>
      </c>
      <c r="B10" s="42" t="s">
        <v>21</v>
      </c>
      <c r="C10" s="42" t="s">
        <v>8</v>
      </c>
      <c r="D10" s="42" t="s">
        <v>9</v>
      </c>
      <c r="E10" s="4" t="s">
        <v>0</v>
      </c>
      <c r="F10" s="4" t="s">
        <v>1</v>
      </c>
      <c r="G10" s="4" t="s">
        <v>2</v>
      </c>
      <c r="H10" s="4" t="s">
        <v>7</v>
      </c>
      <c r="I10" s="4" t="s">
        <v>6</v>
      </c>
      <c r="J10" s="42" t="s">
        <v>22</v>
      </c>
      <c r="K10" s="4" t="s">
        <v>10</v>
      </c>
      <c r="L10" s="4" t="s">
        <v>11</v>
      </c>
      <c r="M10" s="4" t="s">
        <v>12</v>
      </c>
      <c r="N10" s="4" t="s">
        <v>13</v>
      </c>
      <c r="O10" s="5" t="s">
        <v>16</v>
      </c>
      <c r="P10" s="5" t="s">
        <v>15</v>
      </c>
      <c r="Q10" s="5" t="s">
        <v>17</v>
      </c>
    </row>
    <row r="11" spans="1:17" x14ac:dyDescent="0.25">
      <c r="A11" s="10">
        <v>1</v>
      </c>
      <c r="B11" s="38" t="str">
        <f>IF('Input Form'!B15="","",'Input Form'!B15)</f>
        <v/>
      </c>
      <c r="C11" s="43" t="str">
        <f>IF('Input Form'!B15="","",'Input Form'!C15)</f>
        <v/>
      </c>
      <c r="D11" s="44" t="str">
        <f>IF('Input Form'!B15="","",'Input Form'!D15)</f>
        <v/>
      </c>
      <c r="E11" s="13" t="str">
        <f>IF('Input Form'!B15="","",C11*D11*$C$3)</f>
        <v/>
      </c>
      <c r="F11" s="13" t="str">
        <f>IF('Input Form'!B15="","",IF($D$4=0,0,(E11/$D$4)*$D$5))</f>
        <v/>
      </c>
      <c r="G11" s="13" t="str">
        <f>IF('Input Form'!B15="","",(E11+H11)*$C$6)</f>
        <v/>
      </c>
      <c r="H11" s="13" t="str">
        <f>IF('Input Form'!B15="","",IF($D$4=0,0,(E11/$D$4)*$D$7))</f>
        <v/>
      </c>
      <c r="I11" s="13" t="str">
        <f>IF('Input Form'!B15="","",E11+F11+G11+H11)</f>
        <v/>
      </c>
      <c r="J11" s="45" t="str">
        <f>IF('Input Form'!B15="","",'Input Form'!E15)</f>
        <v/>
      </c>
      <c r="K11" s="13" t="str">
        <f>IF('Input Form'!B15="","",I11*J11)</f>
        <v/>
      </c>
      <c r="L11" s="13" t="str">
        <f>IF('Input Form'!B15="","",K11*10%)</f>
        <v/>
      </c>
      <c r="M11" s="13" t="str">
        <f>IF('Input Form'!B15="","",(I11+K11+L11)*18%)</f>
        <v/>
      </c>
      <c r="N11" s="13" t="str">
        <f>IF('Input Form'!B15="","",K11+L11+M11)</f>
        <v/>
      </c>
      <c r="O11" s="13" t="str">
        <f>IF('Input Form'!B15="","",C11*$C$3)</f>
        <v/>
      </c>
      <c r="P11" s="13" t="str">
        <f>IF('Input Form'!B15="","",IF(D11=0,0,(N11+I11)/D11))</f>
        <v/>
      </c>
      <c r="Q11" s="13" t="str">
        <f>IF('Input Form'!B15="","",IF(D11=0,0,(I11+K11+L11)/D11))</f>
        <v/>
      </c>
    </row>
    <row r="12" spans="1:17" x14ac:dyDescent="0.25">
      <c r="A12" s="10">
        <f>A11+1</f>
        <v>2</v>
      </c>
      <c r="B12" s="38" t="str">
        <f>IF('Input Form'!B16="","",'Input Form'!B16)</f>
        <v/>
      </c>
      <c r="C12" s="43" t="str">
        <f>IF('Input Form'!B16="","",'Input Form'!C16)</f>
        <v/>
      </c>
      <c r="D12" s="44" t="str">
        <f>IF('Input Form'!B16="","",'Input Form'!D16)</f>
        <v/>
      </c>
      <c r="E12" s="13" t="str">
        <f>IF('Input Form'!B16="","",C12*D12*$C$3)</f>
        <v/>
      </c>
      <c r="F12" s="13" t="str">
        <f>IF('Input Form'!B16="","",IF($D$4=0,0,(E12/$D$4)*$D$5))</f>
        <v/>
      </c>
      <c r="G12" s="13" t="str">
        <f>IF('Input Form'!B16="","",(E12+H12)*$C$6)</f>
        <v/>
      </c>
      <c r="H12" s="13" t="str">
        <f>IF('Input Form'!B16="","",IF($D$4=0,0,(E12/$D$4)*$D$7))</f>
        <v/>
      </c>
      <c r="I12" s="13" t="str">
        <f>IF('Input Form'!B16="","",E12+F12+G12+H12)</f>
        <v/>
      </c>
      <c r="J12" s="45" t="str">
        <f>IF('Input Form'!B16="","",'Input Form'!E16)</f>
        <v/>
      </c>
      <c r="K12" s="13" t="str">
        <f>IF('Input Form'!B16="","",I12*J12)</f>
        <v/>
      </c>
      <c r="L12" s="13" t="str">
        <f>IF('Input Form'!B16="","",K12*10%)</f>
        <v/>
      </c>
      <c r="M12" s="13" t="str">
        <f>IF('Input Form'!B16="","",(I12+K12+L12)*18%)</f>
        <v/>
      </c>
      <c r="N12" s="13" t="str">
        <f>IF('Input Form'!B16="","",K12+L12+M12)</f>
        <v/>
      </c>
      <c r="O12" s="13" t="str">
        <f>IF('Input Form'!B16="","",C12*$C$3)</f>
        <v/>
      </c>
      <c r="P12" s="13" t="str">
        <f>IF('Input Form'!B16="","",IF(D12=0,0,(N12+I12)/D12))</f>
        <v/>
      </c>
      <c r="Q12" s="13" t="str">
        <f>IF('Input Form'!B16="","",IF(D12=0,0,(I12+K12+L12)/D12))</f>
        <v/>
      </c>
    </row>
    <row r="13" spans="1:17" x14ac:dyDescent="0.25">
      <c r="A13" s="10">
        <f t="shared" ref="A13:A30" si="0">A12+1</f>
        <v>3</v>
      </c>
      <c r="B13" s="38" t="str">
        <f>IF('Input Form'!B17="","",'Input Form'!B17)</f>
        <v/>
      </c>
      <c r="C13" s="43" t="str">
        <f>IF('Input Form'!B17="","",'Input Form'!C17)</f>
        <v/>
      </c>
      <c r="D13" s="44" t="str">
        <f>IF('Input Form'!B17="","",'Input Form'!D17)</f>
        <v/>
      </c>
      <c r="E13" s="13" t="str">
        <f>IF('Input Form'!B17="","",C13*D13*$C$3)</f>
        <v/>
      </c>
      <c r="F13" s="13" t="str">
        <f>IF('Input Form'!B17="","",IF($D$4=0,0,(E13/$D$4)*$D$5))</f>
        <v/>
      </c>
      <c r="G13" s="13" t="str">
        <f>IF('Input Form'!B17="","",(E13+H13)*$C$6)</f>
        <v/>
      </c>
      <c r="H13" s="13" t="str">
        <f>IF('Input Form'!B17="","",IF($D$4=0,0,(E13/$D$4)*$D$7))</f>
        <v/>
      </c>
      <c r="I13" s="13" t="str">
        <f>IF('Input Form'!B17="","",E13+F13+G13+H13)</f>
        <v/>
      </c>
      <c r="J13" s="45" t="str">
        <f>IF('Input Form'!B17="","",'Input Form'!E17)</f>
        <v/>
      </c>
      <c r="K13" s="13" t="str">
        <f>IF('Input Form'!B17="","",I13*J13)</f>
        <v/>
      </c>
      <c r="L13" s="13" t="str">
        <f>IF('Input Form'!B17="","",K13*10%)</f>
        <v/>
      </c>
      <c r="M13" s="13" t="str">
        <f>IF('Input Form'!B17="","",(I13+K13+L13)*18%)</f>
        <v/>
      </c>
      <c r="N13" s="13" t="str">
        <f>IF('Input Form'!B17="","",K13+L13+M13)</f>
        <v/>
      </c>
      <c r="O13" s="13" t="str">
        <f>IF('Input Form'!B17="","",C13*$C$3)</f>
        <v/>
      </c>
      <c r="P13" s="13" t="str">
        <f>IF('Input Form'!B17="","",IF(D13=0,0,(N13+I13)/D13))</f>
        <v/>
      </c>
      <c r="Q13" s="13" t="str">
        <f>IF('Input Form'!B17="","",IF(D13=0,0,(I13+K13+L13)/D13))</f>
        <v/>
      </c>
    </row>
    <row r="14" spans="1:17" x14ac:dyDescent="0.25">
      <c r="A14" s="10">
        <f t="shared" si="0"/>
        <v>4</v>
      </c>
      <c r="B14" s="38" t="str">
        <f>IF('Input Form'!B18="","",'Input Form'!B18)</f>
        <v/>
      </c>
      <c r="C14" s="43" t="str">
        <f>IF('Input Form'!B18="","",'Input Form'!C18)</f>
        <v/>
      </c>
      <c r="D14" s="44" t="str">
        <f>IF('Input Form'!B18="","",'Input Form'!D18)</f>
        <v/>
      </c>
      <c r="E14" s="13" t="str">
        <f>IF('Input Form'!B18="","",C14*D14*$C$3)</f>
        <v/>
      </c>
      <c r="F14" s="13" t="str">
        <f>IF('Input Form'!B18="","",IF($D$4=0,0,(E14/$D$4)*$D$5))</f>
        <v/>
      </c>
      <c r="G14" s="13" t="str">
        <f>IF('Input Form'!B18="","",(E14+H14)*$C$6)</f>
        <v/>
      </c>
      <c r="H14" s="13" t="str">
        <f>IF('Input Form'!B18="","",IF($D$4=0,0,(E14/$D$4)*$D$7))</f>
        <v/>
      </c>
      <c r="I14" s="13" t="str">
        <f>IF('Input Form'!B18="","",E14+F14+G14+H14)</f>
        <v/>
      </c>
      <c r="J14" s="45" t="str">
        <f>IF('Input Form'!B18="","",'Input Form'!E18)</f>
        <v/>
      </c>
      <c r="K14" s="13" t="str">
        <f>IF('Input Form'!B18="","",I14*J14)</f>
        <v/>
      </c>
      <c r="L14" s="13" t="str">
        <f>IF('Input Form'!B18="","",K14*10%)</f>
        <v/>
      </c>
      <c r="M14" s="13" t="str">
        <f>IF('Input Form'!B18="","",(I14+K14+L14)*18%)</f>
        <v/>
      </c>
      <c r="N14" s="13" t="str">
        <f>IF('Input Form'!B18="","",K14+L14+M14)</f>
        <v/>
      </c>
      <c r="O14" s="13" t="str">
        <f>IF('Input Form'!B18="","",C14*$C$3)</f>
        <v/>
      </c>
      <c r="P14" s="13" t="str">
        <f>IF('Input Form'!B18="","",IF(D14=0,0,(N14+I14)/D14))</f>
        <v/>
      </c>
      <c r="Q14" s="13" t="str">
        <f>IF('Input Form'!B18="","",IF(D14=0,0,(I14+K14+L14)/D14))</f>
        <v/>
      </c>
    </row>
    <row r="15" spans="1:17" x14ac:dyDescent="0.25">
      <c r="A15" s="10">
        <f t="shared" si="0"/>
        <v>5</v>
      </c>
      <c r="B15" s="38" t="str">
        <f>IF('Input Form'!B19="","",'Input Form'!B19)</f>
        <v/>
      </c>
      <c r="C15" s="43" t="str">
        <f>IF('Input Form'!B19="","",'Input Form'!C19)</f>
        <v/>
      </c>
      <c r="D15" s="44" t="str">
        <f>IF('Input Form'!B19="","",'Input Form'!D19)</f>
        <v/>
      </c>
      <c r="E15" s="13" t="str">
        <f>IF('Input Form'!B19="","",C15*D15*$C$3)</f>
        <v/>
      </c>
      <c r="F15" s="13" t="str">
        <f>IF('Input Form'!B19="","",IF($D$4=0,0,(E15/$D$4)*$D$5))</f>
        <v/>
      </c>
      <c r="G15" s="13" t="str">
        <f>IF('Input Form'!B19="","",(E15+H15)*$C$6)</f>
        <v/>
      </c>
      <c r="H15" s="13" t="str">
        <f>IF('Input Form'!B19="","",IF($D$4=0,0,(E15/$D$4)*$D$7))</f>
        <v/>
      </c>
      <c r="I15" s="13" t="str">
        <f>IF('Input Form'!B19="","",E15+F15+G15+H15)</f>
        <v/>
      </c>
      <c r="J15" s="45" t="str">
        <f>IF('Input Form'!B19="","",'Input Form'!E19)</f>
        <v/>
      </c>
      <c r="K15" s="13" t="str">
        <f>IF('Input Form'!B19="","",I15*J15)</f>
        <v/>
      </c>
      <c r="L15" s="13" t="str">
        <f>IF('Input Form'!B19="","",K15*10%)</f>
        <v/>
      </c>
      <c r="M15" s="13" t="str">
        <f>IF('Input Form'!B19="","",(I15+K15+L15)*18%)</f>
        <v/>
      </c>
      <c r="N15" s="13" t="str">
        <f>IF('Input Form'!B19="","",K15+L15+M15)</f>
        <v/>
      </c>
      <c r="O15" s="13" t="str">
        <f>IF('Input Form'!B19="","",C15*$C$3)</f>
        <v/>
      </c>
      <c r="P15" s="13" t="str">
        <f>IF('Input Form'!B19="","",IF(D15=0,0,(N15+I15)/D15))</f>
        <v/>
      </c>
      <c r="Q15" s="13" t="str">
        <f>IF('Input Form'!B19="","",IF(D15=0,0,(I15+K15+L15)/D15))</f>
        <v/>
      </c>
    </row>
    <row r="16" spans="1:17" x14ac:dyDescent="0.25">
      <c r="A16" s="10">
        <f t="shared" si="0"/>
        <v>6</v>
      </c>
      <c r="B16" s="38" t="str">
        <f>IF('Input Form'!B20="","",'Input Form'!B20)</f>
        <v/>
      </c>
      <c r="C16" s="43" t="str">
        <f>IF('Input Form'!B20="","",'Input Form'!C20)</f>
        <v/>
      </c>
      <c r="D16" s="44" t="str">
        <f>IF('Input Form'!B20="","",'Input Form'!D20)</f>
        <v/>
      </c>
      <c r="E16" s="13" t="str">
        <f>IF('Input Form'!B20="","",C16*D16*$C$3)</f>
        <v/>
      </c>
      <c r="F16" s="13" t="str">
        <f>IF('Input Form'!B20="","",IF($D$4=0,0,(E16/$D$4)*$D$5))</f>
        <v/>
      </c>
      <c r="G16" s="13" t="str">
        <f>IF('Input Form'!B20="","",(E16+H16)*$C$6)</f>
        <v/>
      </c>
      <c r="H16" s="13" t="str">
        <f>IF('Input Form'!B20="","",IF($D$4=0,0,(E16/$D$4)*$D$7))</f>
        <v/>
      </c>
      <c r="I16" s="13" t="str">
        <f>IF('Input Form'!B20="","",E16+F16+G16+H16)</f>
        <v/>
      </c>
      <c r="J16" s="45" t="str">
        <f>IF('Input Form'!B20="","",'Input Form'!E20)</f>
        <v/>
      </c>
      <c r="K16" s="13" t="str">
        <f>IF('Input Form'!B20="","",I16*J16)</f>
        <v/>
      </c>
      <c r="L16" s="13" t="str">
        <f>IF('Input Form'!B20="","",K16*10%)</f>
        <v/>
      </c>
      <c r="M16" s="13" t="str">
        <f>IF('Input Form'!B20="","",(I16+K16+L16)*18%)</f>
        <v/>
      </c>
      <c r="N16" s="13" t="str">
        <f>IF('Input Form'!B20="","",K16+L16+M16)</f>
        <v/>
      </c>
      <c r="O16" s="13" t="str">
        <f>IF('Input Form'!B20="","",C16*$C$3)</f>
        <v/>
      </c>
      <c r="P16" s="13" t="str">
        <f>IF('Input Form'!B20="","",IF(D16=0,0,(N16+I16)/D16))</f>
        <v/>
      </c>
      <c r="Q16" s="14" t="str">
        <f>IF('Input Form'!B20="","",IF(D16=0,0,(I16+K16+L16)/D16))</f>
        <v/>
      </c>
    </row>
    <row r="17" spans="1:17" x14ac:dyDescent="0.25">
      <c r="A17" s="10">
        <f t="shared" si="0"/>
        <v>7</v>
      </c>
      <c r="B17" s="38" t="str">
        <f>IF('Input Form'!B21="","",'Input Form'!B21)</f>
        <v/>
      </c>
      <c r="C17" s="43" t="str">
        <f>IF('Input Form'!B21="","",'Input Form'!C21)</f>
        <v/>
      </c>
      <c r="D17" s="44" t="str">
        <f>IF('Input Form'!B21="","",'Input Form'!D21)</f>
        <v/>
      </c>
      <c r="E17" s="13" t="str">
        <f>IF('Input Form'!B21="","",C17*D17*$C$3)</f>
        <v/>
      </c>
      <c r="F17" s="13" t="str">
        <f>IF('Input Form'!B21="","",IF($D$4=0,0,(E17/$D$4)*$D$5))</f>
        <v/>
      </c>
      <c r="G17" s="13" t="str">
        <f>IF('Input Form'!B21="","",(E17+H17)*$C$6)</f>
        <v/>
      </c>
      <c r="H17" s="13" t="str">
        <f>IF('Input Form'!B21="","",IF($D$4=0,0,(E17/$D$4)*$D$7))</f>
        <v/>
      </c>
      <c r="I17" s="13" t="str">
        <f>IF('Input Form'!B21="","",E17+F17+G17+H17)</f>
        <v/>
      </c>
      <c r="J17" s="45" t="str">
        <f>IF('Input Form'!B21="","",'Input Form'!E21)</f>
        <v/>
      </c>
      <c r="K17" s="13" t="str">
        <f>IF('Input Form'!B21="","",I17*J17)</f>
        <v/>
      </c>
      <c r="L17" s="13" t="str">
        <f>IF('Input Form'!B21="","",K17*10%)</f>
        <v/>
      </c>
      <c r="M17" s="13" t="str">
        <f>IF('Input Form'!B21="","",(I17+K17+L17)*18%)</f>
        <v/>
      </c>
      <c r="N17" s="13" t="str">
        <f>IF('Input Form'!B21="","",K17+L17+M17)</f>
        <v/>
      </c>
      <c r="O17" s="13" t="str">
        <f>IF('Input Form'!B21="","",C17*$C$3)</f>
        <v/>
      </c>
      <c r="P17" s="13" t="str">
        <f>IF('Input Form'!B21="","",IF(D17=0,0,(N17+I17)/D17))</f>
        <v/>
      </c>
      <c r="Q17" s="14" t="str">
        <f>IF('Input Form'!B21="","",IF(D17=0,0,(I17+K17+L17)/D17))</f>
        <v/>
      </c>
    </row>
    <row r="18" spans="1:17" x14ac:dyDescent="0.25">
      <c r="A18" s="10">
        <f t="shared" si="0"/>
        <v>8</v>
      </c>
      <c r="B18" s="38" t="str">
        <f>IF('Input Form'!B22="","",'Input Form'!B22)</f>
        <v/>
      </c>
      <c r="C18" s="43" t="str">
        <f>IF('Input Form'!B22="","",'Input Form'!C22)</f>
        <v/>
      </c>
      <c r="D18" s="44" t="str">
        <f>IF('Input Form'!B22="","",'Input Form'!D22)</f>
        <v/>
      </c>
      <c r="E18" s="13" t="str">
        <f>IF('Input Form'!B22="","",C18*D18*$C$3)</f>
        <v/>
      </c>
      <c r="F18" s="13" t="str">
        <f>IF('Input Form'!B22="","",IF($D$4=0,0,(E18/$D$4)*$D$5))</f>
        <v/>
      </c>
      <c r="G18" s="13" t="str">
        <f>IF('Input Form'!B22="","",(E18+H18)*$C$6)</f>
        <v/>
      </c>
      <c r="H18" s="13" t="str">
        <f>IF('Input Form'!B22="","",IF($D$4=0,0,(E18/$D$4)*$D$7))</f>
        <v/>
      </c>
      <c r="I18" s="13" t="str">
        <f>IF('Input Form'!B22="","",E18+F18+G18+H18)</f>
        <v/>
      </c>
      <c r="J18" s="45" t="str">
        <f>IF('Input Form'!B22="","",'Input Form'!E22)</f>
        <v/>
      </c>
      <c r="K18" s="13" t="str">
        <f>IF('Input Form'!B22="","",I18*J18)</f>
        <v/>
      </c>
      <c r="L18" s="13" t="str">
        <f>IF('Input Form'!B22="","",K18*10%)</f>
        <v/>
      </c>
      <c r="M18" s="13" t="str">
        <f>IF('Input Form'!B22="","",(I18+K18+L18)*18%)</f>
        <v/>
      </c>
      <c r="N18" s="13" t="str">
        <f>IF('Input Form'!B22="","",K18+L18+M18)</f>
        <v/>
      </c>
      <c r="O18" s="13" t="str">
        <f>IF('Input Form'!B22="","",C18*$C$3)</f>
        <v/>
      </c>
      <c r="P18" s="13" t="str">
        <f>IF('Input Form'!B22="","",IF(D18=0,0,(N18+I18)/D18))</f>
        <v/>
      </c>
      <c r="Q18" s="13" t="str">
        <f>IF('Input Form'!B22="","",IF(D18=0,0,(I18+K18+L18)/D18))</f>
        <v/>
      </c>
    </row>
    <row r="19" spans="1:17" x14ac:dyDescent="0.25">
      <c r="A19" s="10">
        <f t="shared" si="0"/>
        <v>9</v>
      </c>
      <c r="B19" s="38" t="str">
        <f>IF('Input Form'!B23="","",'Input Form'!B23)</f>
        <v/>
      </c>
      <c r="C19" s="43" t="str">
        <f>IF('Input Form'!B23="","",'Input Form'!C23)</f>
        <v/>
      </c>
      <c r="D19" s="44" t="str">
        <f>IF('Input Form'!B23="","",'Input Form'!D23)</f>
        <v/>
      </c>
      <c r="E19" s="13" t="str">
        <f>IF('Input Form'!B23="","",C19*D19*$C$3)</f>
        <v/>
      </c>
      <c r="F19" s="13" t="str">
        <f>IF('Input Form'!B23="","",IF($D$4=0,0,(E19/$D$4)*$D$5))</f>
        <v/>
      </c>
      <c r="G19" s="13" t="str">
        <f>IF('Input Form'!B23="","",(E19+H19)*$C$6)</f>
        <v/>
      </c>
      <c r="H19" s="13" t="str">
        <f>IF('Input Form'!B23="","",IF($D$4=0,0,(E19/$D$4)*$D$7))</f>
        <v/>
      </c>
      <c r="I19" s="13" t="str">
        <f>IF('Input Form'!B23="","",E19+F19+G19+H19)</f>
        <v/>
      </c>
      <c r="J19" s="45" t="str">
        <f>IF('Input Form'!B23="","",'Input Form'!E23)</f>
        <v/>
      </c>
      <c r="K19" s="13" t="str">
        <f>IF('Input Form'!B23="","",I19*J19)</f>
        <v/>
      </c>
      <c r="L19" s="13" t="str">
        <f>IF('Input Form'!B23="","",K19*10%)</f>
        <v/>
      </c>
      <c r="M19" s="13" t="str">
        <f>IF('Input Form'!B23="","",(I19+K19+L19)*18%)</f>
        <v/>
      </c>
      <c r="N19" s="13" t="str">
        <f>IF('Input Form'!B23="","",K19+L19+M19)</f>
        <v/>
      </c>
      <c r="O19" s="13" t="str">
        <f>IF('Input Form'!B23="","",C19*$C$3)</f>
        <v/>
      </c>
      <c r="P19" s="13" t="str">
        <f>IF('Input Form'!B23="","",IF(D19=0,0,(N19+I19)/D19))</f>
        <v/>
      </c>
      <c r="Q19" s="13" t="str">
        <f>IF('Input Form'!B23="","",IF(D19=0,0,(I19+K19+L19)/D19))</f>
        <v/>
      </c>
    </row>
    <row r="20" spans="1:17" x14ac:dyDescent="0.25">
      <c r="A20" s="10">
        <f t="shared" si="0"/>
        <v>10</v>
      </c>
      <c r="B20" s="38" t="str">
        <f>IF('Input Form'!B24="","",'Input Form'!B24)</f>
        <v/>
      </c>
      <c r="C20" s="43" t="str">
        <f>IF('Input Form'!B24="","",'Input Form'!C24)</f>
        <v/>
      </c>
      <c r="D20" s="44" t="str">
        <f>IF('Input Form'!B24="","",'Input Form'!D24)</f>
        <v/>
      </c>
      <c r="E20" s="13" t="str">
        <f>IF('Input Form'!B24="","",C20*D20*$C$3)</f>
        <v/>
      </c>
      <c r="F20" s="13" t="str">
        <f>IF('Input Form'!B24="","",IF($D$4=0,0,(E20/$D$4)*$D$5))</f>
        <v/>
      </c>
      <c r="G20" s="13" t="str">
        <f>IF('Input Form'!B24="","",(E20+H20)*$C$6)</f>
        <v/>
      </c>
      <c r="H20" s="13" t="str">
        <f>IF('Input Form'!B24="","",IF($D$4=0,0,(E20/$D$4)*$D$7))</f>
        <v/>
      </c>
      <c r="I20" s="13" t="str">
        <f>IF('Input Form'!B24="","",E20+F20+G20+H20)</f>
        <v/>
      </c>
      <c r="J20" s="45" t="str">
        <f>IF('Input Form'!B24="","",'Input Form'!E24)</f>
        <v/>
      </c>
      <c r="K20" s="13" t="str">
        <f>IF('Input Form'!B24="","",I20*J20)</f>
        <v/>
      </c>
      <c r="L20" s="13" t="str">
        <f>IF('Input Form'!B24="","",K20*10%)</f>
        <v/>
      </c>
      <c r="M20" s="13" t="str">
        <f>IF('Input Form'!B24="","",(I20+K20+L20)*18%)</f>
        <v/>
      </c>
      <c r="N20" s="13" t="str">
        <f>IF('Input Form'!B24="","",K20+L20+M20)</f>
        <v/>
      </c>
      <c r="O20" s="13" t="str">
        <f>IF('Input Form'!B24="","",C20*$C$3)</f>
        <v/>
      </c>
      <c r="P20" s="13" t="str">
        <f>IF('Input Form'!B24="","",IF(D20=0,0,(N20+I20)/D20))</f>
        <v/>
      </c>
      <c r="Q20" s="13" t="str">
        <f>IF('Input Form'!B24="","",IF(D20=0,0,(I20+K20+L20)/D20))</f>
        <v/>
      </c>
    </row>
    <row r="21" spans="1:17" x14ac:dyDescent="0.25">
      <c r="A21" s="10">
        <f t="shared" si="0"/>
        <v>11</v>
      </c>
      <c r="B21" s="38" t="str">
        <f>IF('Input Form'!B25="","",'Input Form'!B25)</f>
        <v/>
      </c>
      <c r="C21" s="43" t="str">
        <f>IF('Input Form'!B25="","",'Input Form'!C25)</f>
        <v/>
      </c>
      <c r="D21" s="44" t="str">
        <f>IF('Input Form'!B25="","",'Input Form'!D25)</f>
        <v/>
      </c>
      <c r="E21" s="13" t="str">
        <f>IF('Input Form'!B25="","",C21*D21*$C$3)</f>
        <v/>
      </c>
      <c r="F21" s="13" t="str">
        <f>IF('Input Form'!B25="","",IF($D$4=0,0,(E21/$D$4)*$D$5))</f>
        <v/>
      </c>
      <c r="G21" s="13" t="str">
        <f>IF('Input Form'!B25="","",(E21+H21)*$C$6)</f>
        <v/>
      </c>
      <c r="H21" s="13" t="str">
        <f>IF('Input Form'!B25="","",IF($D$4=0,0,(E21/$D$4)*$D$7))</f>
        <v/>
      </c>
      <c r="I21" s="13" t="str">
        <f>IF('Input Form'!B25="","",E21+F21+G21+H21)</f>
        <v/>
      </c>
      <c r="J21" s="45" t="str">
        <f>IF('Input Form'!B25="","",'Input Form'!E25)</f>
        <v/>
      </c>
      <c r="K21" s="13" t="str">
        <f>IF('Input Form'!B25="","",I21*J21)</f>
        <v/>
      </c>
      <c r="L21" s="13" t="str">
        <f>IF('Input Form'!B25="","",K21*10%)</f>
        <v/>
      </c>
      <c r="M21" s="13" t="str">
        <f>IF('Input Form'!B25="","",(I21+K21+L21)*18%)</f>
        <v/>
      </c>
      <c r="N21" s="13" t="str">
        <f>IF('Input Form'!B25="","",K21+L21+M21)</f>
        <v/>
      </c>
      <c r="O21" s="13" t="str">
        <f>IF('Input Form'!B25="","",C21*$C$3)</f>
        <v/>
      </c>
      <c r="P21" s="13" t="str">
        <f>IF('Input Form'!B25="","",IF(D21=0,0,(N21+I21)/D21))</f>
        <v/>
      </c>
      <c r="Q21" s="13" t="str">
        <f>IF('Input Form'!B25="","",IF(D21=0,0,(I21+K21+L21)/D21))</f>
        <v/>
      </c>
    </row>
    <row r="22" spans="1:17" x14ac:dyDescent="0.25">
      <c r="A22" s="10">
        <f t="shared" si="0"/>
        <v>12</v>
      </c>
      <c r="B22" s="38" t="str">
        <f>IF('Input Form'!B26="","",'Input Form'!B26)</f>
        <v/>
      </c>
      <c r="C22" s="43" t="str">
        <f>IF('Input Form'!B26="","",'Input Form'!C26)</f>
        <v/>
      </c>
      <c r="D22" s="44" t="str">
        <f>IF('Input Form'!B26="","",'Input Form'!D26)</f>
        <v/>
      </c>
      <c r="E22" s="13" t="str">
        <f>IF('Input Form'!B26="","",C22*D22*$C$3)</f>
        <v/>
      </c>
      <c r="F22" s="13" t="str">
        <f>IF('Input Form'!B26="","",IF($D$4=0,0,(E22/$D$4)*$D$5))</f>
        <v/>
      </c>
      <c r="G22" s="13" t="str">
        <f>IF('Input Form'!B26="","",(E22+H22)*$C$6)</f>
        <v/>
      </c>
      <c r="H22" s="13" t="str">
        <f>IF('Input Form'!B26="","",IF($D$4=0,0,(E22/$D$4)*$D$7))</f>
        <v/>
      </c>
      <c r="I22" s="13" t="str">
        <f>IF('Input Form'!B26="","",E22+F22+G22+H22)</f>
        <v/>
      </c>
      <c r="J22" s="45" t="str">
        <f>IF('Input Form'!B26="","",'Input Form'!E26)</f>
        <v/>
      </c>
      <c r="K22" s="13" t="str">
        <f>IF('Input Form'!B26="","",I22*J22)</f>
        <v/>
      </c>
      <c r="L22" s="13" t="str">
        <f>IF('Input Form'!B26="","",K22*10%)</f>
        <v/>
      </c>
      <c r="M22" s="13" t="str">
        <f>IF('Input Form'!B26="","",(I22+K22+L22)*18%)</f>
        <v/>
      </c>
      <c r="N22" s="13" t="str">
        <f>IF('Input Form'!B26="","",K22+L22+M22)</f>
        <v/>
      </c>
      <c r="O22" s="13" t="str">
        <f>IF('Input Form'!B26="","",C22*$C$3)</f>
        <v/>
      </c>
      <c r="P22" s="13" t="str">
        <f>IF('Input Form'!B26="","",IF(D22=0,0,(N22+I22)/D22))</f>
        <v/>
      </c>
      <c r="Q22" s="13" t="str">
        <f>IF('Input Form'!B26="","",IF(D22=0,0,(I22+K22+L22)/D22))</f>
        <v/>
      </c>
    </row>
    <row r="23" spans="1:17" x14ac:dyDescent="0.25">
      <c r="A23" s="10">
        <f t="shared" si="0"/>
        <v>13</v>
      </c>
      <c r="B23" s="38" t="str">
        <f>IF('Input Form'!B27="","",'Input Form'!B27)</f>
        <v/>
      </c>
      <c r="C23" s="43" t="str">
        <f>IF('Input Form'!B27="","",'Input Form'!C27)</f>
        <v/>
      </c>
      <c r="D23" s="44" t="str">
        <f>IF('Input Form'!B27="","",'Input Form'!D27)</f>
        <v/>
      </c>
      <c r="E23" s="13" t="str">
        <f>IF('Input Form'!B27="","",C23*D23*$C$3)</f>
        <v/>
      </c>
      <c r="F23" s="13" t="str">
        <f>IF('Input Form'!B27="","",IF($D$4=0,0,(E23/$D$4)*$D$5))</f>
        <v/>
      </c>
      <c r="G23" s="13" t="str">
        <f>IF('Input Form'!B27="","",(E23+H23)*$C$6)</f>
        <v/>
      </c>
      <c r="H23" s="13" t="str">
        <f>IF('Input Form'!B27="","",IF($D$4=0,0,(E23/$D$4)*$D$7))</f>
        <v/>
      </c>
      <c r="I23" s="13" t="str">
        <f>IF('Input Form'!B27="","",E23+F23+G23+H23)</f>
        <v/>
      </c>
      <c r="J23" s="45" t="str">
        <f>IF('Input Form'!B27="","",'Input Form'!E27)</f>
        <v/>
      </c>
      <c r="K23" s="13" t="str">
        <f>IF('Input Form'!B27="","",I23*J23)</f>
        <v/>
      </c>
      <c r="L23" s="13" t="str">
        <f>IF('Input Form'!B27="","",K23*10%)</f>
        <v/>
      </c>
      <c r="M23" s="13" t="str">
        <f>IF('Input Form'!B27="","",(I23+K23+L23)*18%)</f>
        <v/>
      </c>
      <c r="N23" s="13" t="str">
        <f>IF('Input Form'!B27="","",K23+L23+M23)</f>
        <v/>
      </c>
      <c r="O23" s="13" t="str">
        <f>IF('Input Form'!B27="","",C23*$C$3)</f>
        <v/>
      </c>
      <c r="P23" s="13" t="str">
        <f>IF('Input Form'!B27="","",IF(D23=0,0,(N23+I23)/D23))</f>
        <v/>
      </c>
      <c r="Q23" s="13" t="str">
        <f>IF('Input Form'!B27="","",IF(D23=0,0,(I23+K23+L23)/D23))</f>
        <v/>
      </c>
    </row>
    <row r="24" spans="1:17" x14ac:dyDescent="0.25">
      <c r="A24" s="10">
        <f t="shared" si="0"/>
        <v>14</v>
      </c>
      <c r="B24" s="38" t="str">
        <f>IF('Input Form'!B28="","",'Input Form'!B28)</f>
        <v/>
      </c>
      <c r="C24" s="43" t="str">
        <f>IF('Input Form'!B28="","",'Input Form'!C28)</f>
        <v/>
      </c>
      <c r="D24" s="44" t="str">
        <f>IF('Input Form'!B28="","",'Input Form'!D28)</f>
        <v/>
      </c>
      <c r="E24" s="13" t="str">
        <f>IF('Input Form'!B28="","",C24*D24*$C$3)</f>
        <v/>
      </c>
      <c r="F24" s="13" t="str">
        <f>IF('Input Form'!B28="","",IF($D$4=0,0,(E24/$D$4)*$D$5))</f>
        <v/>
      </c>
      <c r="G24" s="13" t="str">
        <f>IF('Input Form'!B28="","",(E24+H24)*$C$6)</f>
        <v/>
      </c>
      <c r="H24" s="13" t="str">
        <f>IF('Input Form'!B28="","",IF($D$4=0,0,(E24/$D$4)*$D$7))</f>
        <v/>
      </c>
      <c r="I24" s="13" t="str">
        <f>IF('Input Form'!B28="","",E24+F24+G24+H24)</f>
        <v/>
      </c>
      <c r="J24" s="45" t="str">
        <f>IF('Input Form'!B28="","",'Input Form'!E28)</f>
        <v/>
      </c>
      <c r="K24" s="13" t="str">
        <f>IF('Input Form'!B28="","",I24*J24)</f>
        <v/>
      </c>
      <c r="L24" s="13" t="str">
        <f>IF('Input Form'!B28="","",K24*10%)</f>
        <v/>
      </c>
      <c r="M24" s="13" t="str">
        <f>IF('Input Form'!B28="","",(I24+K24+L24)*18%)</f>
        <v/>
      </c>
      <c r="N24" s="13" t="str">
        <f>IF('Input Form'!B28="","",K24+L24+M24)</f>
        <v/>
      </c>
      <c r="O24" s="13" t="str">
        <f>IF('Input Form'!B28="","",C24*$C$3)</f>
        <v/>
      </c>
      <c r="P24" s="13" t="str">
        <f>IF('Input Form'!B28="","",IF(D24=0,0,(N24+I24)/D24))</f>
        <v/>
      </c>
      <c r="Q24" s="13" t="str">
        <f>IF('Input Form'!B28="","",IF(D24=0,0,(I24+K24+L24)/D24))</f>
        <v/>
      </c>
    </row>
    <row r="25" spans="1:17" x14ac:dyDescent="0.25">
      <c r="A25" s="10">
        <f t="shared" si="0"/>
        <v>15</v>
      </c>
      <c r="B25" s="38" t="str">
        <f>IF('Input Form'!B29="","",'Input Form'!B29)</f>
        <v/>
      </c>
      <c r="C25" s="43" t="str">
        <f>IF('Input Form'!B29="","",'Input Form'!C29)</f>
        <v/>
      </c>
      <c r="D25" s="44" t="str">
        <f>IF('Input Form'!B29="","",'Input Form'!D29)</f>
        <v/>
      </c>
      <c r="E25" s="13" t="str">
        <f>IF('Input Form'!B29="","",C25*D25*$C$3)</f>
        <v/>
      </c>
      <c r="F25" s="13" t="str">
        <f>IF('Input Form'!B29="","",IF($D$4=0,0,(E25/$D$4)*$D$5))</f>
        <v/>
      </c>
      <c r="G25" s="13" t="str">
        <f>IF('Input Form'!B29="","",(E25+H25)*$C$6)</f>
        <v/>
      </c>
      <c r="H25" s="13" t="str">
        <f>IF('Input Form'!B29="","",IF($D$4=0,0,(E25/$D$4)*$D$7))</f>
        <v/>
      </c>
      <c r="I25" s="13" t="str">
        <f>IF('Input Form'!B29="","",E25+F25+G25+H25)</f>
        <v/>
      </c>
      <c r="J25" s="45" t="str">
        <f>IF('Input Form'!B29="","",'Input Form'!E29)</f>
        <v/>
      </c>
      <c r="K25" s="13" t="str">
        <f>IF('Input Form'!B29="","",I25*J25)</f>
        <v/>
      </c>
      <c r="L25" s="13" t="str">
        <f>IF('Input Form'!B29="","",K25*10%)</f>
        <v/>
      </c>
      <c r="M25" s="13" t="str">
        <f>IF('Input Form'!B29="","",(I25+K25+L25)*18%)</f>
        <v/>
      </c>
      <c r="N25" s="13" t="str">
        <f>IF('Input Form'!B29="","",K25+L25+M25)</f>
        <v/>
      </c>
      <c r="O25" s="13" t="str">
        <f>IF('Input Form'!B29="","",C25*$C$3)</f>
        <v/>
      </c>
      <c r="P25" s="13" t="str">
        <f>IF('Input Form'!B29="","",IF(D25=0,0,(N25+I25)/D25))</f>
        <v/>
      </c>
      <c r="Q25" s="13" t="str">
        <f>IF('Input Form'!B29="","",IF(D25=0,0,(I25+K25+L25)/D25))</f>
        <v/>
      </c>
    </row>
    <row r="26" spans="1:17" x14ac:dyDescent="0.25">
      <c r="A26" s="10">
        <f t="shared" si="0"/>
        <v>16</v>
      </c>
      <c r="B26" s="38" t="str">
        <f>IF('Input Form'!B30="","",'Input Form'!B30)</f>
        <v/>
      </c>
      <c r="C26" s="43" t="str">
        <f>IF('Input Form'!B30="","",'Input Form'!C30)</f>
        <v/>
      </c>
      <c r="D26" s="44" t="str">
        <f>IF('Input Form'!B30="","",'Input Form'!D30)</f>
        <v/>
      </c>
      <c r="E26" s="13" t="str">
        <f>IF('Input Form'!B30="","",C26*D26*$C$3)</f>
        <v/>
      </c>
      <c r="F26" s="13" t="str">
        <f>IF('Input Form'!B30="","",IF($D$4=0,0,(E26/$D$4)*$D$5))</f>
        <v/>
      </c>
      <c r="G26" s="13" t="str">
        <f>IF('Input Form'!B30="","",(E26+H26)*$C$6)</f>
        <v/>
      </c>
      <c r="H26" s="13" t="str">
        <f>IF('Input Form'!B30="","",IF($D$4=0,0,(E26/$D$4)*$D$7))</f>
        <v/>
      </c>
      <c r="I26" s="13" t="str">
        <f>IF('Input Form'!B30="","",E26+F26+G26+H26)</f>
        <v/>
      </c>
      <c r="J26" s="45" t="str">
        <f>IF('Input Form'!B30="","",'Input Form'!E30)</f>
        <v/>
      </c>
      <c r="K26" s="13" t="str">
        <f>IF('Input Form'!B30="","",I26*J26)</f>
        <v/>
      </c>
      <c r="L26" s="13" t="str">
        <f>IF('Input Form'!B30="","",K26*10%)</f>
        <v/>
      </c>
      <c r="M26" s="13" t="str">
        <f>IF('Input Form'!B30="","",(I26+K26+L26)*18%)</f>
        <v/>
      </c>
      <c r="N26" s="13" t="str">
        <f>IF('Input Form'!B30="","",K26+L26+M26)</f>
        <v/>
      </c>
      <c r="O26" s="13" t="str">
        <f>IF('Input Form'!B30="","",C26*$C$3)</f>
        <v/>
      </c>
      <c r="P26" s="13" t="str">
        <f>IF('Input Form'!B30="","",IF(D26=0,0,(N26+I26)/D26))</f>
        <v/>
      </c>
      <c r="Q26" s="13" t="str">
        <f>IF('Input Form'!B30="","",IF(D26=0,0,(I26+K26+L26)/D26))</f>
        <v/>
      </c>
    </row>
    <row r="27" spans="1:17" x14ac:dyDescent="0.25">
      <c r="A27" s="10">
        <f t="shared" si="0"/>
        <v>17</v>
      </c>
      <c r="B27" s="38" t="str">
        <f>IF('Input Form'!B31="","",'Input Form'!B31)</f>
        <v/>
      </c>
      <c r="C27" s="43" t="str">
        <f>IF('Input Form'!B31="","",'Input Form'!C31)</f>
        <v/>
      </c>
      <c r="D27" s="44" t="str">
        <f>IF('Input Form'!B31="","",'Input Form'!D31)</f>
        <v/>
      </c>
      <c r="E27" s="13" t="str">
        <f>IF('Input Form'!B31="","",C27*D27*$C$3)</f>
        <v/>
      </c>
      <c r="F27" s="13" t="str">
        <f>IF('Input Form'!B31="","",IF($D$4=0,0,(E27/$D$4)*$D$5))</f>
        <v/>
      </c>
      <c r="G27" s="13" t="str">
        <f>IF('Input Form'!B31="","",(E27+H27)*$C$6)</f>
        <v/>
      </c>
      <c r="H27" s="13" t="str">
        <f>IF('Input Form'!B31="","",IF($D$4=0,0,(E27/$D$4)*$D$7))</f>
        <v/>
      </c>
      <c r="I27" s="13" t="str">
        <f>IF('Input Form'!B31="","",E27+F27+G27+H27)</f>
        <v/>
      </c>
      <c r="J27" s="45" t="str">
        <f>IF('Input Form'!B31="","",'Input Form'!E31)</f>
        <v/>
      </c>
      <c r="K27" s="13" t="str">
        <f>IF('Input Form'!B31="","",I27*J27)</f>
        <v/>
      </c>
      <c r="L27" s="13" t="str">
        <f>IF('Input Form'!B31="","",K27*10%)</f>
        <v/>
      </c>
      <c r="M27" s="13" t="str">
        <f>IF('Input Form'!B31="","",(I27+K27+L27)*18%)</f>
        <v/>
      </c>
      <c r="N27" s="13" t="str">
        <f>IF('Input Form'!B31="","",K27+L27+M27)</f>
        <v/>
      </c>
      <c r="O27" s="13" t="str">
        <f>IF('Input Form'!B31="","",C27*$C$3)</f>
        <v/>
      </c>
      <c r="P27" s="13" t="str">
        <f>IF('Input Form'!B31="","",IF(D27=0,0,(N27+I27)/D27))</f>
        <v/>
      </c>
      <c r="Q27" s="13" t="str">
        <f>IF('Input Form'!B31="","",IF(D27=0,0,(I27+K27+L27)/D27))</f>
        <v/>
      </c>
    </row>
    <row r="28" spans="1:17" x14ac:dyDescent="0.25">
      <c r="A28" s="10">
        <f t="shared" si="0"/>
        <v>18</v>
      </c>
      <c r="B28" s="38" t="str">
        <f>IF('Input Form'!B32="","",'Input Form'!B32)</f>
        <v/>
      </c>
      <c r="C28" s="43" t="str">
        <f>IF('Input Form'!B32="","",'Input Form'!C32)</f>
        <v/>
      </c>
      <c r="D28" s="44" t="str">
        <f>IF('Input Form'!B32="","",'Input Form'!D32)</f>
        <v/>
      </c>
      <c r="E28" s="13" t="str">
        <f>IF('Input Form'!B32="","",C28*D28*$C$3)</f>
        <v/>
      </c>
      <c r="F28" s="13" t="str">
        <f>IF('Input Form'!B32="","",IF($D$4=0,0,(E28/$D$4)*$D$5))</f>
        <v/>
      </c>
      <c r="G28" s="13" t="str">
        <f>IF('Input Form'!B32="","",(E28+H28)*$C$6)</f>
        <v/>
      </c>
      <c r="H28" s="13" t="str">
        <f>IF('Input Form'!B32="","",IF($D$4=0,0,(E28/$D$4)*$D$7))</f>
        <v/>
      </c>
      <c r="I28" s="13" t="str">
        <f>IF('Input Form'!B32="","",E28+F28+G28+H28)</f>
        <v/>
      </c>
      <c r="J28" s="45" t="str">
        <f>IF('Input Form'!B32="","",'Input Form'!E32)</f>
        <v/>
      </c>
      <c r="K28" s="13" t="str">
        <f>IF('Input Form'!B32="","",I28*J28)</f>
        <v/>
      </c>
      <c r="L28" s="13" t="str">
        <f>IF('Input Form'!B32="","",K28*10%)</f>
        <v/>
      </c>
      <c r="M28" s="13" t="str">
        <f>IF('Input Form'!B32="","",(I28+K28+L28)*18%)</f>
        <v/>
      </c>
      <c r="N28" s="13" t="str">
        <f>IF('Input Form'!B32="","",K28+L28+M28)</f>
        <v/>
      </c>
      <c r="O28" s="13" t="str">
        <f>IF('Input Form'!B32="","",C28*$C$3)</f>
        <v/>
      </c>
      <c r="P28" s="13" t="str">
        <f>IF('Input Form'!B32="","",IF(D28=0,0,(N28+I28)/D28))</f>
        <v/>
      </c>
      <c r="Q28" s="13" t="str">
        <f>IF('Input Form'!B32="","",IF(D28=0,0,(I28+K28+L28)/D28))</f>
        <v/>
      </c>
    </row>
    <row r="29" spans="1:17" x14ac:dyDescent="0.25">
      <c r="A29" s="10">
        <f t="shared" si="0"/>
        <v>19</v>
      </c>
      <c r="B29" s="38" t="str">
        <f>IF('Input Form'!B33="","",'Input Form'!B33)</f>
        <v/>
      </c>
      <c r="C29" s="43" t="str">
        <f>IF('Input Form'!B33="","",'Input Form'!C33)</f>
        <v/>
      </c>
      <c r="D29" s="44" t="str">
        <f>IF('Input Form'!B33="","",'Input Form'!D33)</f>
        <v/>
      </c>
      <c r="E29" s="13" t="str">
        <f>IF('Input Form'!B33="","",C29*D29*$C$3)</f>
        <v/>
      </c>
      <c r="F29" s="13" t="str">
        <f>IF('Input Form'!B33="","",IF($D$4=0,0,(E29/$D$4)*$D$5))</f>
        <v/>
      </c>
      <c r="G29" s="13" t="str">
        <f>IF('Input Form'!B33="","",(E29+H29)*$C$6)</f>
        <v/>
      </c>
      <c r="H29" s="13" t="str">
        <f>IF('Input Form'!B33="","",IF($D$4=0,0,(E29/$D$4)*$D$7))</f>
        <v/>
      </c>
      <c r="I29" s="13" t="str">
        <f>IF('Input Form'!B33="","",E29+F29+G29+H29)</f>
        <v/>
      </c>
      <c r="J29" s="45" t="str">
        <f>IF('Input Form'!B33="","",'Input Form'!E33)</f>
        <v/>
      </c>
      <c r="K29" s="13" t="str">
        <f>IF('Input Form'!B33="","",I29*J29)</f>
        <v/>
      </c>
      <c r="L29" s="13" t="str">
        <f>IF('Input Form'!B33="","",K29*10%)</f>
        <v/>
      </c>
      <c r="M29" s="13" t="str">
        <f>IF('Input Form'!B33="","",(I29+K29+L29)*18%)</f>
        <v/>
      </c>
      <c r="N29" s="13" t="str">
        <f>IF('Input Form'!B33="","",K29+L29+M29)</f>
        <v/>
      </c>
      <c r="O29" s="13" t="str">
        <f>IF('Input Form'!B33="","",C29*$C$3)</f>
        <v/>
      </c>
      <c r="P29" s="13" t="str">
        <f>IF('Input Form'!B33="","",IF(D29=0,0,(N29+I29)/D29))</f>
        <v/>
      </c>
      <c r="Q29" s="13" t="str">
        <f>IF('Input Form'!B33="","",IF(D29=0,0,(I29+K29+L29)/D29))</f>
        <v/>
      </c>
    </row>
    <row r="30" spans="1:17" x14ac:dyDescent="0.25">
      <c r="A30" s="10">
        <f t="shared" si="0"/>
        <v>20</v>
      </c>
      <c r="B30" s="38" t="str">
        <f>IF('Input Form'!B34="","",'Input Form'!B34)</f>
        <v/>
      </c>
      <c r="C30" s="43" t="str">
        <f>IF('Input Form'!B34="","",'Input Form'!C34)</f>
        <v/>
      </c>
      <c r="D30" s="44" t="str">
        <f>IF('Input Form'!B34="","",'Input Form'!D34)</f>
        <v/>
      </c>
      <c r="E30" s="13" t="str">
        <f>IF('Input Form'!B34="","",C30*D30*$C$3)</f>
        <v/>
      </c>
      <c r="F30" s="13" t="str">
        <f>IF('Input Form'!B34="","",IF($D$4=0,0,(E30/$D$4)*$D$5))</f>
        <v/>
      </c>
      <c r="G30" s="13" t="str">
        <f>IF('Input Form'!B34="","",(E30+H30)*$C$6)</f>
        <v/>
      </c>
      <c r="H30" s="13" t="str">
        <f>IF('Input Form'!B34="","",IF($D$4=0,0,(E30/$D$4)*$D$7))</f>
        <v/>
      </c>
      <c r="I30" s="13" t="str">
        <f>IF('Input Form'!B34="","",E30+F30+G30+H30)</f>
        <v/>
      </c>
      <c r="J30" s="45" t="str">
        <f>IF('Input Form'!B34="","",'Input Form'!E34)</f>
        <v/>
      </c>
      <c r="K30" s="13" t="str">
        <f>IF('Input Form'!B34="","",I30*J30)</f>
        <v/>
      </c>
      <c r="L30" s="13" t="str">
        <f>IF('Input Form'!B34="","",K30*10%)</f>
        <v/>
      </c>
      <c r="M30" s="13" t="str">
        <f>IF('Input Form'!B34="","",(I30+K30+L30)*18%)</f>
        <v/>
      </c>
      <c r="N30" s="13" t="str">
        <f>IF('Input Form'!B34="","",K30+L30+M30)</f>
        <v/>
      </c>
      <c r="O30" s="13" t="str">
        <f>IF('Input Form'!B34="","",C30*$C$3)</f>
        <v/>
      </c>
      <c r="P30" s="13" t="str">
        <f>IF('Input Form'!B34="","",IF(D30=0,0,(N30+I30)/D30))</f>
        <v/>
      </c>
      <c r="Q30" s="13" t="str">
        <f>IF('Input Form'!B34="","",IF(D30=0,0,(I30+K30+L30)/D30))</f>
        <v/>
      </c>
    </row>
  </sheetData>
  <conditionalFormatting sqref="A11:Q30">
    <cfRule type="expression" dxfId="0" priority="1">
      <formula>$B11&lt;&gt;""</formula>
    </cfRule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Input Form</vt:lpstr>
      <vt:lpstr>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Meril Life sciences Pvt Ltd</dc:creator>
  <cp:lastModifiedBy>Akash Thakor</cp:lastModifiedBy>
  <dcterms:created xsi:type="dcterms:W3CDTF">2026-04-24T03:20:04Z</dcterms:created>
  <dcterms:modified xsi:type="dcterms:W3CDTF">2026-09-04T04:16:39Z</dcterms:modified>
</cp:coreProperties>
</file>